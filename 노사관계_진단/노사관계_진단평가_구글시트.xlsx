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설문" sheetId="2" state="visible" r:id="rId2"/>
    <sheet xmlns:r="http://schemas.openxmlformats.org/officeDocument/2006/relationships" name="결과" sheetId="3" state="visible" r:id="rId3"/>
    <sheet xmlns:r="http://schemas.openxmlformats.org/officeDocument/2006/relationships" name="가중치" sheetId="4" state="visible" r:id="rId4"/>
    <sheet xmlns:r="http://schemas.openxmlformats.org/officeDocument/2006/relationships" name="벤치마크" sheetId="5" state="visible" r:id="rId5"/>
    <sheet xmlns:r="http://schemas.openxmlformats.org/officeDocument/2006/relationships" name="역산검증" sheetId="6" state="visible" r:id="rId6"/>
    <sheet xmlns:r="http://schemas.openxmlformats.org/officeDocument/2006/relationships" name="모형설계" sheetId="7" state="visible" r:id="rId7"/>
    <sheet xmlns:r="http://schemas.openxmlformats.org/officeDocument/2006/relationships" name="점수_응답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"/>
    <numFmt numFmtId="167" formatCode="+0.0;-0.0;0.0"/>
    <numFmt numFmtId="168" formatCode="+0.00;-0.00;0.00"/>
    <numFmt numFmtId="169" formatCode="+0%;-0%;0%"/>
  </numFmts>
  <fonts count="7">
    <font>
      <name val="Calibri"/>
      <family val="2"/>
      <color theme="1"/>
      <sz val="11"/>
      <scheme val="minor"/>
    </font>
    <font>
      <b val="1"/>
      <color rgb="000B5FA5"/>
      <sz val="16"/>
    </font>
    <font>
      <color rgb="005B6878"/>
      <sz val="9"/>
    </font>
    <font>
      <b val="1"/>
    </font>
    <font>
      <b val="1"/>
      <color rgb="000B5FA5"/>
    </font>
    <font>
      <b val="1"/>
      <color rgb="00FFFFFF"/>
    </font>
    <font>
      <color rgb="000B5FA5"/>
    </font>
  </fonts>
  <fills count="7">
    <fill>
      <patternFill/>
    </fill>
    <fill>
      <patternFill patternType="gray125"/>
    </fill>
    <fill>
      <patternFill patternType="solid">
        <fgColor rgb="00F1F3F6"/>
      </patternFill>
    </fill>
    <fill>
      <patternFill patternType="solid">
        <fgColor rgb="00FFF8DC"/>
      </patternFill>
    </fill>
    <fill>
      <patternFill patternType="solid">
        <fgColor rgb="000B5FA5"/>
      </patternFill>
    </fill>
    <fill>
      <patternFill patternType="solid">
        <fgColor rgb="00DCE8F5"/>
      </patternFill>
    </fill>
    <fill>
      <patternFill patternType="solid">
        <fgColor rgb="00EAF5EE"/>
      </patternFill>
    </fill>
  </fills>
  <borders count="6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  <border>
      <left/>
      <right/>
      <top style="thin">
        <color rgb="00C9D1DB"/>
      </top>
      <bottom/>
      <diagonal/>
    </border>
    <border>
      <left/>
      <right style="thin">
        <color rgb="00C9D1DB"/>
      </right>
      <top style="thin">
        <color rgb="00C9D1DB"/>
      </top>
      <bottom/>
      <diagonal/>
    </border>
    <border>
      <left/>
      <right/>
      <top style="thin">
        <color rgb="00C9D1DB"/>
      </top>
      <bottom style="thin">
        <color rgb="00C9D1DB"/>
      </bottom>
      <diagonal/>
    </border>
    <border>
      <left/>
      <right style="thin">
        <color rgb="00C9D1DB"/>
      </right>
      <top style="thin">
        <color rgb="00C9D1DB"/>
      </top>
      <bottom style="thin">
        <color rgb="00C9D1DB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3" borderId="0" pivotButton="0" quotePrefix="0" xfId="0"/>
    <xf numFmtId="0" fontId="0" fillId="2" borderId="1" pivotButton="0" quotePrefix="0" xfId="0"/>
    <xf numFmtId="0" fontId="3" fillId="5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1" fontId="0" fillId="6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167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2" fontId="3" fillId="0" borderId="1" pivotButton="0" quotePrefix="0" xfId="0"/>
    <xf numFmtId="2" fontId="0" fillId="0" borderId="1" pivotButton="0" quotePrefix="0" xfId="0"/>
    <xf numFmtId="0" fontId="3" fillId="5" borderId="0" pivotButton="0" quotePrefix="0" xfId="0"/>
    <xf numFmtId="165" fontId="0" fillId="0" borderId="1" pivotButton="0" quotePrefix="0" xfId="0"/>
    <xf numFmtId="0" fontId="6" fillId="0" borderId="0" applyAlignment="1" pivotButton="0" quotePrefix="0" xfId="0">
      <alignment vertical="center" wrapText="1"/>
    </xf>
    <xf numFmtId="0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C0392B"/>
      </font>
    </dxf>
    <dxf>
      <font>
        <b val="1"/>
        <color rgb="001B8A5A"/>
      </font>
    </dxf>
    <dxf>
      <fill>
        <patternFill patternType="solid">
          <fgColor rgb="00FDE2DF"/>
        </patternFill>
      </fill>
    </dxf>
    <dxf>
      <fill>
        <patternFill patternType="solid">
          <fgColor rgb="00DF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노사관계 진단·평가 도구 (구글시트용)</t>
        </is>
      </c>
    </row>
    <row r="2">
      <c r="B2" s="2" t="inlineStr">
        <is>
          <t>근거: 노사발전재단 「일터혁신 실태조사」 2023·2024·2025 최종보고서 — 일터혁신지수 ‘노사관계’ 영역(100점)</t>
        </is>
      </c>
    </row>
    <row r="3">
      <c r="B3" s="3" t="inlineStr"/>
    </row>
    <row r="4">
      <c r="B4" s="4" t="inlineStr">
        <is>
          <t>■ 이 파일은 무엇인가요?</t>
        </is>
      </c>
    </row>
    <row r="5">
      <c r="B5" s="3" t="inlineStr">
        <is>
          <t>설문에 답하면 노사발전재단이 매년 발표하는 일터혁신지수 ‘노사관계’ 점수(100점 만점)와 같은 방식으로 자동 채점하고,</t>
        </is>
      </c>
    </row>
    <row r="6">
      <c r="B6" s="3" t="inlineStr">
        <is>
          <t>같은 해·같은 조건(규모·업종·노조유무) 사업장 평균과 비교해 등급과 우선 개선과제를 보여줍니다. 매크로 없이 수식만으로 동작합니다.</t>
        </is>
      </c>
    </row>
    <row r="7">
      <c r="B7" s="5" t="inlineStr">
        <is>
          <t>쉽게 말하면 — 5과목(분위기·협력/갈등·정보공유·고충처리·노사협의회) 성적표를 만들고 ‘전국 평균 대비 몇 점 위/아래인지’ 알려주는 도구입니다.</t>
        </is>
      </c>
    </row>
    <row r="8">
      <c r="B8" s="3" t="inlineStr"/>
    </row>
    <row r="9">
      <c r="B9" s="4" t="inlineStr">
        <is>
          <t>■ 사용 순서</t>
        </is>
      </c>
    </row>
    <row r="10">
      <c r="B10" s="3" t="inlineStr">
        <is>
          <t>① [설문] 시트 위쪽 노란 칸에 기관 기본정보(업종·규모·노조·노사협의회·컨설팅 수혜)를 고릅니다.</t>
        </is>
      </c>
    </row>
    <row r="11">
      <c r="B11" s="3" t="inlineStr">
        <is>
          <t>② [설문] 시트에서 응답자 1명이 한 열(E열=응답자1, F열=응답자2 …, 최대 50명)을 맡아 드롭다운으로 답합니다.</t>
        </is>
      </c>
    </row>
    <row r="12">
      <c r="B12" s="3" t="inlineStr">
        <is>
          <t xml:space="preserve">    · 14행 ‘응답자 유형’을 꼭 고르세요(사업주·담당자 / 근로자). 유형을 고르지 않은 열은 집계에서 빠집니다.</t>
        </is>
      </c>
    </row>
    <row r="13">
      <c r="B13" s="3" t="inlineStr">
        <is>
          <t xml:space="preserve">    · 여러 사람이 동시에 답하려면 구글시트 공유(편집자)로 링크를 보내 각자 자기 열에 입력하면 됩니다.</t>
        </is>
      </c>
    </row>
    <row r="14">
      <c r="B14" s="3" t="inlineStr">
        <is>
          <t>③ [결과] 시트에서 응답자 유형·비교연도·비교집단을 고르면 종합점수·등급·벤치마크 비교·우선 개선과제·문항별 강약점이 자동 계산됩니다.</t>
        </is>
      </c>
    </row>
    <row r="15">
      <c r="B15" s="3" t="inlineStr">
        <is>
          <t>④ (선택) [가중치] 시트에서 문항별 배점을 바꿔 ‘우리 기관 중요도’ 시나리오를 볼 수 있습니다. 벤치마크 비교는 기본 배점일 때만 정확합니다.</t>
        </is>
      </c>
    </row>
    <row r="16">
      <c r="B16" s="3" t="inlineStr"/>
    </row>
    <row r="17">
      <c r="B17" s="4" t="inlineStr">
        <is>
          <t>■ 시트 구성</t>
        </is>
      </c>
    </row>
    <row r="18">
      <c r="B18" s="3" t="inlineStr">
        <is>
          <t>안내 · 설문(입력) · 결과(자동) · 가중치(문항별 배점) · 벤치마크(공식 비교값) · 역산검증(공식 산식 재현 근거) · 모형설계(평가모형 설명서) · 점수_응답자(계산용, 수정 금지)</t>
        </is>
      </c>
    </row>
    <row r="19">
      <c r="B19" s="3" t="inlineStr"/>
    </row>
    <row r="20">
      <c r="B20" s="4" t="inlineStr">
        <is>
          <t>■ 꼭 알아두세요</t>
        </is>
      </c>
    </row>
    <row r="21">
      <c r="B21" s="3" t="inlineStr">
        <is>
          <t>· 사업주·담당자 응답(재단 실태조사와 같은 응답주체)과 근로자 응답은 서로 다른 시각이므로 합산하지 않고 따로 봅니다. 벤치마크는 사업주·담당자 기준입니다.</t>
        </is>
      </c>
    </row>
    <row r="22">
      <c r="B22" s="3" t="inlineStr">
        <is>
          <t>· 재단은 2025년에 계산식을 바꿨습니다(5점 응답을 0~1로 바꾸는 방식 ÷5 → (−1)÷4). 그래서 2025 비교는 2025식, 2023·2024 비교는 2023·24식으로 자동 계산합니다.</t>
        </is>
      </c>
    </row>
    <row r="23">
      <c r="B23" s="3" t="inlineStr">
        <is>
          <t>· 노란 칸만 입력하세요. 초록·회색 칸은 수식입니다. [점수_응답자] 시트는 지우거나 고치지 마세요.</t>
        </is>
      </c>
    </row>
    <row r="24">
      <c r="B24" s="3" t="inlineStr">
        <is>
          <t>· 등급(S~D)은 재단 공식 등급이 아니라 이 도구가 정한 ‘벤치마크 대비 차이’ 기준입니다. 자세한 근거는 [모형설계]·[역산검증] 시트에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5"/>
  <sheetViews>
    <sheetView showGridLines="0"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5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6" t="inlineStr">
        <is>
          <t>노사관계 진단 설문</t>
        </is>
      </c>
    </row>
    <row r="2">
      <c r="A2" s="7" t="inlineStr">
        <is>
          <t>노란 칸만 입력 · 응답자 1명 = 1열(E열부터 최대 50명) · 드롭다운으로 선택</t>
        </is>
      </c>
    </row>
    <row r="4">
      <c r="B4" s="8" t="inlineStr">
        <is>
          <t>기관/사업장명</t>
        </is>
      </c>
      <c r="C4" s="9" t="inlineStr"/>
      <c r="D4" s="10" t="inlineStr">
        <is>
          <t>자유 입력</t>
        </is>
      </c>
    </row>
    <row r="5">
      <c r="B5" s="8" t="inlineStr">
        <is>
          <t>업종</t>
        </is>
      </c>
      <c r="C5" s="9" t="inlineStr">
        <is>
          <t>공공행정서비스</t>
        </is>
      </c>
      <c r="D5" s="10" t="inlineStr">
        <is>
          <t>재단 실태조사 업종 분류</t>
        </is>
      </c>
    </row>
    <row r="6">
      <c r="B6" s="8" t="inlineStr">
        <is>
          <t>규모(상시근로자)</t>
        </is>
      </c>
      <c r="C6" s="9" t="inlineStr">
        <is>
          <t>300인 이상</t>
        </is>
      </c>
      <c r="D6" s="10" t="inlineStr">
        <is>
          <t>벤치마크 규모 구간</t>
        </is>
      </c>
    </row>
    <row r="7">
      <c r="B7" s="8" t="inlineStr">
        <is>
          <t>노동조합</t>
        </is>
      </c>
      <c r="C7" s="9" t="inlineStr">
        <is>
          <t>있음</t>
        </is>
      </c>
      <c r="D7" s="10" t="inlineStr"/>
    </row>
    <row r="8">
      <c r="B8" s="8" t="inlineStr">
        <is>
          <t>노사협의회</t>
        </is>
      </c>
      <c r="C8" s="9" t="inlineStr">
        <is>
          <t>설치</t>
        </is>
      </c>
      <c r="D8" s="10" t="inlineStr">
        <is>
          <t>미설치·50인 미만·무노조면 노사협의회 영역 제외 후 100점 환산</t>
        </is>
      </c>
    </row>
    <row r="9">
      <c r="B9" s="8" t="inlineStr">
        <is>
          <t>일터혁신 컨설팅(최근 3년)</t>
        </is>
      </c>
      <c r="C9" s="9" t="inlineStr">
        <is>
          <t>받지 않음(일반)</t>
        </is>
      </c>
      <c r="D9" s="10" t="inlineStr">
        <is>
          <t>벤치마크 비교집단 자동 선택에 사용</t>
        </is>
      </c>
    </row>
    <row r="12">
      <c r="A12" s="11" t="inlineStr">
        <is>
          <t>문항ID</t>
        </is>
      </c>
      <c r="B12" s="11" t="inlineStr">
        <is>
          <t>구분</t>
        </is>
      </c>
      <c r="C12" s="11" t="inlineStr">
        <is>
          <t>문항</t>
        </is>
      </c>
      <c r="D12" s="11" t="inlineStr">
        <is>
          <t>응답 방법</t>
        </is>
      </c>
      <c r="E12" s="11" t="inlineStr">
        <is>
          <t>응답자1</t>
        </is>
      </c>
      <c r="F12" s="11" t="inlineStr">
        <is>
          <t>응답자2</t>
        </is>
      </c>
      <c r="G12" s="11" t="inlineStr">
        <is>
          <t>응답자3</t>
        </is>
      </c>
      <c r="H12" s="11" t="inlineStr">
        <is>
          <t>응답자4</t>
        </is>
      </c>
      <c r="I12" s="11" t="inlineStr">
        <is>
          <t>응답자5</t>
        </is>
      </c>
      <c r="J12" s="11" t="inlineStr">
        <is>
          <t>응답자6</t>
        </is>
      </c>
      <c r="K12" s="11" t="inlineStr">
        <is>
          <t>응답자7</t>
        </is>
      </c>
      <c r="L12" s="11" t="inlineStr">
        <is>
          <t>응답자8</t>
        </is>
      </c>
      <c r="M12" s="11" t="inlineStr">
        <is>
          <t>응답자9</t>
        </is>
      </c>
      <c r="N12" s="11" t="inlineStr">
        <is>
          <t>응답자10</t>
        </is>
      </c>
      <c r="O12" s="11" t="inlineStr">
        <is>
          <t>응답자11</t>
        </is>
      </c>
      <c r="P12" s="11" t="inlineStr">
        <is>
          <t>응답자12</t>
        </is>
      </c>
      <c r="Q12" s="11" t="inlineStr">
        <is>
          <t>응답자13</t>
        </is>
      </c>
      <c r="R12" s="11" t="inlineStr">
        <is>
          <t>응답자14</t>
        </is>
      </c>
      <c r="S12" s="11" t="inlineStr">
        <is>
          <t>응답자15</t>
        </is>
      </c>
      <c r="T12" s="11" t="inlineStr">
        <is>
          <t>응답자16</t>
        </is>
      </c>
      <c r="U12" s="11" t="inlineStr">
        <is>
          <t>응답자17</t>
        </is>
      </c>
      <c r="V12" s="11" t="inlineStr">
        <is>
          <t>응답자18</t>
        </is>
      </c>
      <c r="W12" s="11" t="inlineStr">
        <is>
          <t>응답자19</t>
        </is>
      </c>
      <c r="X12" s="11" t="inlineStr">
        <is>
          <t>응답자20</t>
        </is>
      </c>
      <c r="Y12" s="11" t="inlineStr">
        <is>
          <t>응답자21</t>
        </is>
      </c>
      <c r="Z12" s="11" t="inlineStr">
        <is>
          <t>응답자22</t>
        </is>
      </c>
      <c r="AA12" s="11" t="inlineStr">
        <is>
          <t>응답자23</t>
        </is>
      </c>
      <c r="AB12" s="11" t="inlineStr">
        <is>
          <t>응답자24</t>
        </is>
      </c>
      <c r="AC12" s="11" t="inlineStr">
        <is>
          <t>응답자25</t>
        </is>
      </c>
      <c r="AD12" s="11" t="inlineStr">
        <is>
          <t>응답자26</t>
        </is>
      </c>
      <c r="AE12" s="11" t="inlineStr">
        <is>
          <t>응답자27</t>
        </is>
      </c>
      <c r="AF12" s="11" t="inlineStr">
        <is>
          <t>응답자28</t>
        </is>
      </c>
      <c r="AG12" s="11" t="inlineStr">
        <is>
          <t>응답자29</t>
        </is>
      </c>
      <c r="AH12" s="11" t="inlineStr">
        <is>
          <t>응답자30</t>
        </is>
      </c>
      <c r="AI12" s="11" t="inlineStr">
        <is>
          <t>응답자31</t>
        </is>
      </c>
      <c r="AJ12" s="11" t="inlineStr">
        <is>
          <t>응답자32</t>
        </is>
      </c>
      <c r="AK12" s="11" t="inlineStr">
        <is>
          <t>응답자33</t>
        </is>
      </c>
      <c r="AL12" s="11" t="inlineStr">
        <is>
          <t>응답자34</t>
        </is>
      </c>
      <c r="AM12" s="11" t="inlineStr">
        <is>
          <t>응답자35</t>
        </is>
      </c>
      <c r="AN12" s="11" t="inlineStr">
        <is>
          <t>응답자36</t>
        </is>
      </c>
      <c r="AO12" s="11" t="inlineStr">
        <is>
          <t>응답자37</t>
        </is>
      </c>
      <c r="AP12" s="11" t="inlineStr">
        <is>
          <t>응답자38</t>
        </is>
      </c>
      <c r="AQ12" s="11" t="inlineStr">
        <is>
          <t>응답자39</t>
        </is>
      </c>
      <c r="AR12" s="11" t="inlineStr">
        <is>
          <t>응답자40</t>
        </is>
      </c>
      <c r="AS12" s="11" t="inlineStr">
        <is>
          <t>응답자41</t>
        </is>
      </c>
      <c r="AT12" s="11" t="inlineStr">
        <is>
          <t>응답자42</t>
        </is>
      </c>
      <c r="AU12" s="11" t="inlineStr">
        <is>
          <t>응답자43</t>
        </is>
      </c>
      <c r="AV12" s="11" t="inlineStr">
        <is>
          <t>응답자44</t>
        </is>
      </c>
      <c r="AW12" s="11" t="inlineStr">
        <is>
          <t>응답자45</t>
        </is>
      </c>
      <c r="AX12" s="11" t="inlineStr">
        <is>
          <t>응답자46</t>
        </is>
      </c>
      <c r="AY12" s="11" t="inlineStr">
        <is>
          <t>응답자47</t>
        </is>
      </c>
      <c r="AZ12" s="11" t="inlineStr">
        <is>
          <t>응답자48</t>
        </is>
      </c>
      <c r="BA12" s="11" t="inlineStr">
        <is>
          <t>응답자49</t>
        </is>
      </c>
      <c r="BB12" s="11" t="inlineStr">
        <is>
          <t>응답자50</t>
        </is>
      </c>
    </row>
    <row r="13">
      <c r="A13" s="8" t="inlineStr">
        <is>
          <t>TYPE</t>
        </is>
      </c>
      <c r="C13" s="8" t="inlineStr">
        <is>
          <t>응답자 유형 (반드시 선택)</t>
        </is>
      </c>
      <c r="D13" s="12" t="inlineStr">
        <is>
          <t>사업주·담당자 / 근로자</t>
        </is>
      </c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</row>
    <row r="14">
      <c r="A14" s="8" t="inlineStr">
        <is>
          <t>MEMO</t>
        </is>
      </c>
      <c r="C14" s="14" t="inlineStr">
        <is>
          <t>소속·비고(선택)</t>
        </is>
      </c>
      <c r="D14" s="12" t="inlineStr">
        <is>
          <t>자유 입력</t>
        </is>
      </c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</row>
    <row r="15" ht="30" customHeight="1">
      <c r="A15" s="15" t="inlineStr">
        <is>
          <t>문16. 노사관계 전반 — 우리 회사는 …</t>
        </is>
      </c>
    </row>
    <row r="16" ht="30" customHeight="1">
      <c r="A16" s="16" t="inlineStr">
        <is>
          <t>Q16_1</t>
        </is>
      </c>
      <c r="B16" s="10" t="inlineStr">
        <is>
          <t>노사관계분위기</t>
        </is>
      </c>
      <c r="C16" s="17" t="inlineStr">
        <is>
          <t>노사의 이해관계가 크게 다르지 않아 협조가 잘 이루어진다</t>
        </is>
      </c>
      <c r="D16" s="10" t="inlineStr">
        <is>
          <t>1~5 (1 전혀 그렇지 않다 · 3 보통 · 5 매우 그렇다)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</row>
    <row r="17" ht="30" customHeight="1">
      <c r="A17" s="16" t="inlineStr">
        <is>
          <t>Q16_2</t>
        </is>
      </c>
      <c r="B17" s="10" t="inlineStr">
        <is>
          <t>노사관계분위기</t>
        </is>
      </c>
      <c r="C17" s="17" t="inlineStr">
        <is>
          <t>노사가 서로 상대방의 일에 대해 반대하지 않는다</t>
        </is>
      </c>
      <c r="D17" s="10" t="inlineStr">
        <is>
          <t>1~5 (1 전혀 그렇지 않다 · 3 보통 · 5 매우 그렇다)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</row>
    <row r="18" ht="30" customHeight="1">
      <c r="A18" s="16" t="inlineStr">
        <is>
          <t>Q16_3</t>
        </is>
      </c>
      <c r="B18" s="10" t="inlineStr">
        <is>
          <t>노사관계분위기</t>
        </is>
      </c>
      <c r="C18" s="17" t="inlineStr">
        <is>
          <t>노사 모두가 회사를 더욱 일하기 좋은 곳으로 만들려고 노력한다</t>
        </is>
      </c>
      <c r="D18" s="10" t="inlineStr">
        <is>
          <t>1~5 (1 전혀 그렇지 않다 · 3 보통 · 5 매우 그렇다)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</row>
    <row r="19" ht="30" customHeight="1">
      <c r="A19" s="16" t="inlineStr">
        <is>
          <t>Q16_4</t>
        </is>
      </c>
      <c r="B19" s="10" t="inlineStr">
        <is>
          <t>노사관계분위기</t>
        </is>
      </c>
      <c r="C19" s="17" t="inlineStr">
        <is>
          <t>그간 노사관계가 협력적이었다</t>
        </is>
      </c>
      <c r="D19" s="10" t="inlineStr">
        <is>
          <t>1~5 (1 전혀 그렇지 않다 · 3 보통 · 5 매우 그렇다)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</row>
    <row r="20" ht="30" customHeight="1">
      <c r="A20" s="15" t="inlineStr">
        <is>
          <t>문17. 노사협력 프로그램·행사(최근 3년) — 시행여부, 시행했다면 활성화 정도(1 전혀 활용되지 않음 ~ 5 잘 활용됨)</t>
        </is>
      </c>
    </row>
    <row r="21" ht="30" customHeight="1">
      <c r="A21" s="16" t="inlineStr">
        <is>
          <t>Q17_1</t>
        </is>
      </c>
      <c r="B21" s="10" t="inlineStr">
        <is>
          <t>노사협력 및 갈등</t>
        </is>
      </c>
      <c r="C21" s="17" t="inlineStr">
        <is>
          <t>노사협력선언·노사공동결의대회 — 시행여부</t>
        </is>
      </c>
      <c r="D21" s="10" t="inlineStr">
        <is>
          <t>시행 / 미시행</t>
        </is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</row>
    <row r="22" ht="30" customHeight="1">
      <c r="A22" s="16" t="inlineStr">
        <is>
          <t>Q17_1A</t>
        </is>
      </c>
      <c r="B22" s="10" t="inlineStr">
        <is>
          <t>노사협력 및 갈등</t>
        </is>
      </c>
      <c r="C22" s="17" t="inlineStr">
        <is>
          <t>노사협력선언·노사공동결의대회 — 활성화 정도(시행한 경우만)</t>
        </is>
      </c>
      <c r="D22" s="10" t="inlineStr">
        <is>
          <t>1~5 (시행한 경우만)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</row>
    <row r="23" ht="30" customHeight="1">
      <c r="A23" s="16" t="inlineStr">
        <is>
          <t>Q17_2</t>
        </is>
      </c>
      <c r="B23" s="10" t="inlineStr">
        <is>
          <t>노사협력 및 갈등</t>
        </is>
      </c>
      <c r="C23" s="17" t="inlineStr">
        <is>
          <t>노사공동기구·위원회를 통한 문제해결 — 시행여부</t>
        </is>
      </c>
      <c r="D23" s="10" t="inlineStr">
        <is>
          <t>시행 / 미시행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</row>
    <row r="24" ht="30" customHeight="1">
      <c r="A24" s="16" t="inlineStr">
        <is>
          <t>Q17_2A</t>
        </is>
      </c>
      <c r="B24" s="10" t="inlineStr">
        <is>
          <t>노사협력 및 갈등</t>
        </is>
      </c>
      <c r="C24" s="17" t="inlineStr">
        <is>
          <t>노사공동기구·위원회를 통한 문제해결 — 활성화 정도(시행한 경우만)</t>
        </is>
      </c>
      <c r="D24" s="10" t="inlineStr">
        <is>
          <t>1~5 (시행한 경우만)</t>
        </is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</row>
    <row r="25" ht="30" customHeight="1">
      <c r="A25" s="16" t="inlineStr">
        <is>
          <t>Q17_3</t>
        </is>
      </c>
      <c r="B25" s="10" t="inlineStr">
        <is>
          <t>노사협력 및 갈등</t>
        </is>
      </c>
      <c r="C25" s="17" t="inlineStr">
        <is>
          <t>노사공동교육·워크숍 — 시행여부</t>
        </is>
      </c>
      <c r="D25" s="10" t="inlineStr">
        <is>
          <t>시행 / 미시행</t>
        </is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</row>
    <row r="26" ht="30" customHeight="1">
      <c r="A26" s="16" t="inlineStr">
        <is>
          <t>Q17_3A</t>
        </is>
      </c>
      <c r="B26" s="10" t="inlineStr">
        <is>
          <t>노사협력 및 갈등</t>
        </is>
      </c>
      <c r="C26" s="17" t="inlineStr">
        <is>
          <t>노사공동교육·워크숍 — 활성화 정도(시행한 경우만)</t>
        </is>
      </c>
      <c r="D26" s="10" t="inlineStr">
        <is>
          <t>1~5 (시행한 경우만)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</row>
    <row r="27" ht="30" customHeight="1">
      <c r="A27" s="16" t="inlineStr">
        <is>
          <t>Q17_4</t>
        </is>
      </c>
      <c r="B27" s="10" t="inlineStr">
        <is>
          <t>노사협력 및 갈등</t>
        </is>
      </c>
      <c r="C27" s="17" t="inlineStr">
        <is>
          <t>직원단합대회(체육대회, 등반대회, 야유회 등) — 시행여부</t>
        </is>
      </c>
      <c r="D27" s="10" t="inlineStr">
        <is>
          <t>시행 / 미시행</t>
        </is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</row>
    <row r="28" ht="30" customHeight="1">
      <c r="A28" s="16" t="inlineStr">
        <is>
          <t>Q17_4A</t>
        </is>
      </c>
      <c r="B28" s="10" t="inlineStr">
        <is>
          <t>노사협력 및 갈등</t>
        </is>
      </c>
      <c r="C28" s="17" t="inlineStr">
        <is>
          <t>직원단합대회(체육대회, 등반대회, 야유회 등) — 활성화 정도(시행한 경우만)</t>
        </is>
      </c>
      <c r="D28" s="10" t="inlineStr">
        <is>
          <t>1~5 (시행한 경우만)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</row>
    <row r="29" ht="30" customHeight="1">
      <c r="A29" s="16" t="inlineStr">
        <is>
          <t>Q17_5</t>
        </is>
      </c>
      <c r="B29" s="10" t="inlineStr">
        <is>
          <t>노사협력 및 갈등</t>
        </is>
      </c>
      <c r="C29" s="17" t="inlineStr">
        <is>
          <t>노사공동 사회봉사(일사일촌 등) — 시행여부</t>
        </is>
      </c>
      <c r="D29" s="10" t="inlineStr">
        <is>
          <t>시행 / 미시행</t>
        </is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</row>
    <row r="30" ht="30" customHeight="1">
      <c r="A30" s="16" t="inlineStr">
        <is>
          <t>Q17_5A</t>
        </is>
      </c>
      <c r="B30" s="10" t="inlineStr">
        <is>
          <t>노사협력 및 갈등</t>
        </is>
      </c>
      <c r="C30" s="17" t="inlineStr">
        <is>
          <t>노사공동 사회봉사(일사일촌 등) — 활성화 정도(시행한 경우만)</t>
        </is>
      </c>
      <c r="D30" s="10" t="inlineStr">
        <is>
          <t>1~5 (시행한 경우만)</t>
        </is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</row>
    <row r="31" ht="30" customHeight="1">
      <c r="A31" s="15" t="inlineStr">
        <is>
          <t>문18. 노사 간 갈등(최근 3년) — 발생 여부</t>
        </is>
      </c>
    </row>
    <row r="32" ht="30" customHeight="1">
      <c r="A32" s="16" t="inlineStr">
        <is>
          <t>Q18_1</t>
        </is>
      </c>
      <c r="B32" s="10" t="inlineStr">
        <is>
          <t>노사협력 및 갈등</t>
        </is>
      </c>
      <c r="C32" s="17" t="inlineStr">
        <is>
          <t>파업(부분파업 포함) 발생</t>
        </is>
      </c>
      <c r="D32" s="10" t="inlineStr">
        <is>
          <t>발생 / 미발생</t>
        </is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</row>
    <row r="33" ht="30" customHeight="1">
      <c r="A33" s="16" t="inlineStr">
        <is>
          <t>Q18_2</t>
        </is>
      </c>
      <c r="B33" s="10" t="inlineStr">
        <is>
          <t>노사협력 및 갈등</t>
        </is>
      </c>
      <c r="C33" s="17" t="inlineStr">
        <is>
          <t>노사문제로 인한 경제적 손실 발생</t>
        </is>
      </c>
      <c r="D33" s="10" t="inlineStr">
        <is>
          <t>발생 / 미발생</t>
        </is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</row>
    <row r="34" ht="30" customHeight="1">
      <c r="A34" s="16" t="inlineStr">
        <is>
          <t>Q18_3</t>
        </is>
      </c>
      <c r="B34" s="10" t="inlineStr">
        <is>
          <t>노사협력 및 갈등</t>
        </is>
      </c>
      <c r="C34" s="17" t="inlineStr">
        <is>
          <t>노사문제로 인한 고소·고발 발생</t>
        </is>
      </c>
      <c r="D34" s="10" t="inlineStr">
        <is>
          <t>발생 / 미발생</t>
        </is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</row>
    <row r="35" ht="30" customHeight="1">
      <c r="A35" s="16" t="inlineStr">
        <is>
          <t>Q18_4</t>
        </is>
      </c>
      <c r="B35" s="10" t="inlineStr">
        <is>
          <t>노사협력 및 갈등</t>
        </is>
      </c>
      <c r="C35" s="17" t="inlineStr">
        <is>
          <t>노사문제로 인한 해고자 발생</t>
        </is>
      </c>
      <c r="D35" s="10" t="inlineStr">
        <is>
          <t>발생 / 미발생</t>
        </is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</row>
    <row r="36" ht="30" customHeight="1">
      <c r="A36" s="15" t="inlineStr">
        <is>
          <t>문19. 근로자 고충처리 — 우리 회사는 …</t>
        </is>
      </c>
    </row>
    <row r="37" ht="30" customHeight="1">
      <c r="A37" s="16" t="inlineStr">
        <is>
          <t>Q19_1</t>
        </is>
      </c>
      <c r="B37" s="10" t="inlineStr">
        <is>
          <t>고충처리</t>
        </is>
      </c>
      <c r="C37" s="17" t="inlineStr">
        <is>
          <t>근로자의 고충을 전달할 공식적인 통로를 충분히 제공하고 있다</t>
        </is>
      </c>
      <c r="D37" s="10" t="inlineStr">
        <is>
          <t>1~5 (1 전혀 그렇지 않다 · 3 보통 · 5 매우 그렇다)</t>
        </is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</row>
    <row r="38" ht="30" customHeight="1">
      <c r="A38" s="16" t="inlineStr">
        <is>
          <t>Q19_2</t>
        </is>
      </c>
      <c r="B38" s="10" t="inlineStr">
        <is>
          <t>고충처리</t>
        </is>
      </c>
      <c r="C38" s="17" t="inlineStr">
        <is>
          <t>고충 제기 후 처리과정에서 노사 간 의사소통이 수시로 이루어진다</t>
        </is>
      </c>
      <c r="D38" s="10" t="inlineStr">
        <is>
          <t>1~5 (1 전혀 그렇지 않다 · 3 보통 · 5 매우 그렇다)</t>
        </is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</row>
    <row r="39" ht="30" customHeight="1">
      <c r="A39" s="16" t="inlineStr">
        <is>
          <t>Q19_3</t>
        </is>
      </c>
      <c r="B39" s="10" t="inlineStr">
        <is>
          <t>고충처리</t>
        </is>
      </c>
      <c r="C39" s="17" t="inlineStr">
        <is>
          <t>근로자의 고충을 효과적으로 처리한다</t>
        </is>
      </c>
      <c r="D39" s="10" t="inlineStr">
        <is>
          <t>1~5 (1 전혀 그렇지 않다 · 3 보통 · 5 매우 그렇다)</t>
        </is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</row>
    <row r="40" ht="30" customHeight="1">
      <c r="A40" s="16" t="inlineStr">
        <is>
          <t>Q19_4</t>
        </is>
      </c>
      <c r="B40" s="10" t="inlineStr">
        <is>
          <t>고충처리</t>
        </is>
      </c>
      <c r="C40" s="17" t="inlineStr">
        <is>
          <t>고충처리에 대해 근로자들은 만족하고 있다</t>
        </is>
      </c>
      <c r="D40" s="10" t="inlineStr">
        <is>
          <t>1~5 (1 전혀 그렇지 않다 · 3 보통 · 5 매우 그렇다)</t>
        </is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</row>
    <row r="41" ht="30" customHeight="1">
      <c r="A41" s="15" t="inlineStr">
        <is>
          <t>문20. (참고·점수 미반영) 지난해 제기된 고충의 해결 정도</t>
        </is>
      </c>
    </row>
    <row r="42" ht="30" customHeight="1">
      <c r="A42" s="16" t="inlineStr">
        <is>
          <t>Q20</t>
        </is>
      </c>
      <c r="B42" s="10" t="inlineStr">
        <is>
          <t>참고</t>
        </is>
      </c>
      <c r="C42" s="17" t="inlineStr">
        <is>
          <t>1=30%미만 2=30~50% 3=50~70% 4=70~90% 5=90%이상</t>
        </is>
      </c>
      <c r="D42" s="10" t="inlineStr">
        <is>
          <t>1~5</t>
        </is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</row>
    <row r="43" ht="30" customHeight="1">
      <c r="A43" s="15" t="inlineStr">
        <is>
          <t>문21. 근로자(대표)와의 의사소통 — 우리 회사는 …</t>
        </is>
      </c>
    </row>
    <row r="44" ht="30" customHeight="1">
      <c r="A44" s="16" t="inlineStr">
        <is>
          <t>Q21_1</t>
        </is>
      </c>
      <c r="B44" s="10" t="inlineStr">
        <is>
          <t>정보공유와 의사소통</t>
        </is>
      </c>
      <c r="C44" s="17" t="inlineStr">
        <is>
          <t>노사 간에는 공식·비공식의 의사소통 통로가 다양하게 존재한다</t>
        </is>
      </c>
      <c r="D44" s="10" t="inlineStr">
        <is>
          <t>1~5 (1 전혀 그렇지 않다 · 3 보통 · 5 매우 그렇다)</t>
        </is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</row>
    <row r="45" ht="30" customHeight="1">
      <c r="A45" s="16" t="inlineStr">
        <is>
          <t>Q21_2</t>
        </is>
      </c>
      <c r="B45" s="10" t="inlineStr">
        <is>
          <t>정보공유와 의사소통</t>
        </is>
      </c>
      <c r="C45" s="17" t="inlineStr">
        <is>
          <t>경영진과 근로자와의 정기적인 간담회가 잘 이루어진다</t>
        </is>
      </c>
      <c r="D45" s="10" t="inlineStr">
        <is>
          <t>1~5 (1 전혀 그렇지 않다 · 3 보통 · 5 매우 그렇다)</t>
        </is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</row>
    <row r="46" ht="30" customHeight="1">
      <c r="A46" s="16" t="inlineStr">
        <is>
          <t>Q21_3</t>
        </is>
      </c>
      <c r="B46" s="10" t="inlineStr">
        <is>
          <t>정보공유와 의사소통</t>
        </is>
      </c>
      <c r="C46" s="17" t="inlineStr">
        <is>
          <t>필요시 노사대표 간 핫라인이 잘 작동된다</t>
        </is>
      </c>
      <c r="D46" s="10" t="inlineStr">
        <is>
          <t>1~5 (1 전혀 그렇지 않다 · 3 보통 · 5 매우 그렇다)</t>
        </is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</row>
    <row r="47" ht="30" customHeight="1">
      <c r="A47" s="16" t="inlineStr">
        <is>
          <t>Q21_4</t>
        </is>
      </c>
      <c r="B47" s="10" t="inlineStr">
        <is>
          <t>정보공유와 의사소통</t>
        </is>
      </c>
      <c r="C47" s="17" t="inlineStr">
        <is>
          <t>근로자들의 일상적인 문제들이 노사 간 의사소통을 통해서 잘 해결되고 있다</t>
        </is>
      </c>
      <c r="D47" s="10" t="inlineStr">
        <is>
          <t>1~5 (1 전혀 그렇지 않다 · 3 보통 · 5 매우 그렇다)</t>
        </is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</row>
    <row r="48" ht="30" customHeight="1">
      <c r="A48" s="16" t="inlineStr">
        <is>
          <t>Q21_5</t>
        </is>
      </c>
      <c r="B48" s="10" t="inlineStr">
        <is>
          <t>정보공유와 의사소통</t>
        </is>
      </c>
      <c r="C48" s="17" t="inlineStr">
        <is>
          <t>개별 직원들이 최고책임자나 경영진에게 자신의 의견을 말할 수 있는 기회가 많다</t>
        </is>
      </c>
      <c r="D48" s="10" t="inlineStr">
        <is>
          <t>1~5 (1 전혀 그렇지 않다 · 3 보통 · 5 매우 그렇다)</t>
        </is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</row>
    <row r="49" ht="30" customHeight="1">
      <c r="A49" s="15" t="inlineStr">
        <is>
          <t>문22. 경영정보 공유 — 근로자(또는 회사)는 …</t>
        </is>
      </c>
    </row>
    <row r="50" ht="30" customHeight="1">
      <c r="A50" s="16" t="inlineStr">
        <is>
          <t>Q22_1</t>
        </is>
      </c>
      <c r="B50" s="10" t="inlineStr">
        <is>
          <t>정보공유와 의사소통</t>
        </is>
      </c>
      <c r="C50" s="17" t="inlineStr">
        <is>
          <t>근로자들은 회사의 비전과 목표가 무엇인지 알고 있다</t>
        </is>
      </c>
      <c r="D50" s="10" t="inlineStr">
        <is>
          <t>1~5 (1 전혀 그렇지 않다 · 3 보통 · 5 매우 그렇다)</t>
        </is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</row>
    <row r="51" ht="30" customHeight="1">
      <c r="A51" s="16" t="inlineStr">
        <is>
          <t>Q22_2</t>
        </is>
      </c>
      <c r="B51" s="10" t="inlineStr">
        <is>
          <t>정보공유와 의사소통</t>
        </is>
      </c>
      <c r="C51" s="17" t="inlineStr">
        <is>
          <t>근로자들은 회사의 각종 경영현황을 이해하고 있다</t>
        </is>
      </c>
      <c r="D51" s="10" t="inlineStr">
        <is>
          <t>1~5 (1 전혀 그렇지 않다 · 3 보통 · 5 매우 그렇다)</t>
        </is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</row>
    <row r="52" ht="30" customHeight="1">
      <c r="A52" s="16" t="inlineStr">
        <is>
          <t>Q22_3</t>
        </is>
      </c>
      <c r="B52" s="10" t="inlineStr">
        <is>
          <t>정보공유와 의사소통</t>
        </is>
      </c>
      <c r="C52" s="17" t="inlineStr">
        <is>
          <t>회사는 각종 경영정보를 근로자와 공유하고 있다</t>
        </is>
      </c>
      <c r="D52" s="10" t="inlineStr">
        <is>
          <t>1~5 (1 전혀 그렇지 않다 · 3 보통 · 5 매우 그렇다)</t>
        </is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</row>
    <row r="53" ht="30" customHeight="1">
      <c r="A53" s="16" t="inlineStr">
        <is>
          <t>Q22_4</t>
        </is>
      </c>
      <c r="B53" s="10" t="inlineStr">
        <is>
          <t>정보공유와 의사소통</t>
        </is>
      </c>
      <c r="C53" s="17" t="inlineStr">
        <is>
          <t>근로자는 회사가 제공하는 경영정보를 신뢰한다</t>
        </is>
      </c>
      <c r="D53" s="10" t="inlineStr">
        <is>
          <t>1~5 (1 전혀 그렇지 않다 · 3 보통 · 5 매우 그렇다)</t>
        </is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</row>
    <row r="54" ht="30" customHeight="1">
      <c r="A54" s="15" t="inlineStr">
        <is>
          <t>문23. 노사협의회(또는 노사공동위원회) 운영 — 우리 노사협의회는 … (미설치면 비워두세요)</t>
        </is>
      </c>
    </row>
    <row r="55" ht="30" customHeight="1">
      <c r="A55" s="16" t="inlineStr">
        <is>
          <t>Q23_1</t>
        </is>
      </c>
      <c r="B55" s="10" t="inlineStr">
        <is>
          <t>노사협의회</t>
        </is>
      </c>
      <c r="C55" s="17" t="inlineStr">
        <is>
          <t>경영 계획과 실적에 대한 정보공유 창구로 활용된다</t>
        </is>
      </c>
      <c r="D55" s="10" t="inlineStr">
        <is>
          <t>1~5 (1 전혀 그렇지 않다 · 3 보통 · 5 매우 그렇다)</t>
        </is>
      </c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</row>
    <row r="56" ht="30" customHeight="1">
      <c r="A56" s="16" t="inlineStr">
        <is>
          <t>Q23_2</t>
        </is>
      </c>
      <c r="B56" s="10" t="inlineStr">
        <is>
          <t>노사협의회</t>
        </is>
      </c>
      <c r="C56" s="17" t="inlineStr">
        <is>
          <t>인사노무제도 개선을 위한 논의 창구로 활용된다</t>
        </is>
      </c>
      <c r="D56" s="10" t="inlineStr">
        <is>
          <t>1~5 (1 전혀 그렇지 않다 · 3 보통 · 5 매우 그렇다)</t>
        </is>
      </c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</row>
    <row r="57" ht="30" customHeight="1">
      <c r="A57" s="16" t="inlineStr">
        <is>
          <t>Q23_3</t>
        </is>
      </c>
      <c r="B57" s="10" t="inlineStr">
        <is>
          <t>노사협의회</t>
        </is>
      </c>
      <c r="C57" s="17" t="inlineStr">
        <is>
          <t>안전보건 및 작업환경 개선을 위한 논의 창구로 활용된다</t>
        </is>
      </c>
      <c r="D57" s="10" t="inlineStr">
        <is>
          <t>1~5 (1 전혀 그렇지 않다 · 3 보통 · 5 매우 그렇다)</t>
        </is>
      </c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</row>
    <row r="58" ht="30" customHeight="1">
      <c r="A58" s="16" t="inlineStr">
        <is>
          <t>Q23_4</t>
        </is>
      </c>
      <c r="B58" s="10" t="inlineStr">
        <is>
          <t>노사협의회</t>
        </is>
      </c>
      <c r="C58" s="17" t="inlineStr">
        <is>
          <t>근로자 복지개선을 위한 협의 창구로 활용된다</t>
        </is>
      </c>
      <c r="D58" s="10" t="inlineStr">
        <is>
          <t>1~5 (1 전혀 그렇지 않다 · 3 보통 · 5 매우 그렇다)</t>
        </is>
      </c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</row>
    <row r="59" ht="30" customHeight="1">
      <c r="A59" s="16" t="inlineStr">
        <is>
          <t>Q23_5</t>
        </is>
      </c>
      <c r="B59" s="10" t="inlineStr">
        <is>
          <t>노사협의회</t>
        </is>
      </c>
      <c r="C59" s="17" t="inlineStr">
        <is>
          <t>작업장 내 생산성 향상을 위한 논의 창구로 활용된다</t>
        </is>
      </c>
      <c r="D59" s="10" t="inlineStr">
        <is>
          <t>1~5 (1 전혀 그렇지 않다 · 3 보통 · 5 매우 그렇다)</t>
        </is>
      </c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</row>
    <row r="60" ht="30" customHeight="1">
      <c r="A60" s="15" t="inlineStr">
        <is>
          <t>문24. 일터혁신에 대한 노동조합(없으면 노사협의회 근로자대표)의 태도와 역할 — 우리 노조(근로자대표)는 …</t>
        </is>
      </c>
    </row>
    <row r="61" ht="30" customHeight="1">
      <c r="A61" s="16" t="inlineStr">
        <is>
          <t>Q24_1</t>
        </is>
      </c>
      <c r="B61" s="10" t="inlineStr">
        <is>
          <t>노사관계분위기</t>
        </is>
      </c>
      <c r="C61" s="17" t="inlineStr">
        <is>
          <t>일터혁신과 관련된 인적자원개발(교육훈련 등) 활동을 지지한다</t>
        </is>
      </c>
      <c r="D61" s="10" t="inlineStr">
        <is>
          <t>1~5 (1 전혀 그렇지 않다 · 3 보통 · 5 매우 그렇다)</t>
        </is>
      </c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</row>
    <row r="62" ht="30" customHeight="1">
      <c r="A62" s="16" t="inlineStr">
        <is>
          <t>Q24_2</t>
        </is>
      </c>
      <c r="B62" s="10" t="inlineStr">
        <is>
          <t>노사관계분위기</t>
        </is>
      </c>
      <c r="C62" s="17" t="inlineStr">
        <is>
          <t>일터혁신과 관련하여 고용안정을 위해 노력한다</t>
        </is>
      </c>
      <c r="D62" s="10" t="inlineStr">
        <is>
          <t>1~5 (1 전혀 그렇지 않다 · 3 보통 · 5 매우 그렇다)</t>
        </is>
      </c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</row>
    <row r="63" ht="30" customHeight="1">
      <c r="A63" s="16" t="inlineStr">
        <is>
          <t>Q24_3</t>
        </is>
      </c>
      <c r="B63" s="10" t="inlineStr">
        <is>
          <t>노사관계분위기</t>
        </is>
      </c>
      <c r="C63" s="17" t="inlineStr">
        <is>
          <t>일터혁신과 관련된 작업장에서의 직원 참여활동을 지지한다</t>
        </is>
      </c>
      <c r="D63" s="10" t="inlineStr">
        <is>
          <t>1~5 (1 전혀 그렇지 않다 · 3 보통 · 5 매우 그렇다)</t>
        </is>
      </c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</row>
    <row r="64" ht="30" customHeight="1">
      <c r="A64" s="16" t="inlineStr">
        <is>
          <t>Q24_4</t>
        </is>
      </c>
      <c r="B64" s="10" t="inlineStr">
        <is>
          <t>노사관계분위기</t>
        </is>
      </c>
      <c r="C64" s="17" t="inlineStr">
        <is>
          <t>일터혁신과 관련된 인적자원관리(보상, 평가 등) 활동을 지지한다</t>
        </is>
      </c>
      <c r="D64" s="10" t="inlineStr">
        <is>
          <t>1~5 (1 전혀 그렇지 않다 · 3 보통 · 5 매우 그렇다)</t>
        </is>
      </c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</row>
    <row r="65" ht="30" customHeight="1">
      <c r="A65" s="16" t="inlineStr">
        <is>
          <t>Q24_5</t>
        </is>
      </c>
      <c r="B65" s="10" t="inlineStr">
        <is>
          <t>노사관계분위기</t>
        </is>
      </c>
      <c r="C65" s="17" t="inlineStr">
        <is>
          <t>일터혁신 전반에 대해 지지한다</t>
        </is>
      </c>
      <c r="D65" s="10" t="inlineStr">
        <is>
          <t>1~5 (1 전혀 그렇지 않다 · 3 보통 · 5 매우 그렇다)</t>
        </is>
      </c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</row>
  </sheetData>
  <mergeCells count="9">
    <mergeCell ref="A31:D31"/>
    <mergeCell ref="A20:D20"/>
    <mergeCell ref="A54:D54"/>
    <mergeCell ref="A15:D15"/>
    <mergeCell ref="A43:D43"/>
    <mergeCell ref="A41:D41"/>
    <mergeCell ref="A49:D49"/>
    <mergeCell ref="A60:D60"/>
    <mergeCell ref="A36:D36"/>
  </mergeCells>
  <dataValidations count="9">
    <dataValidation sqref="C5" showDropDown="0" showInputMessage="0" showErrorMessage="0" allowBlank="1" type="list">
      <formula1>"제조업,일반서비스,공공행정서비스,금융서비스,기타서비스"</formula1>
    </dataValidation>
    <dataValidation sqref="C6" showDropDown="0" showInputMessage="0" showErrorMessage="0" allowBlank="1" type="list">
      <formula1>"50인 미만,50~100인 미만,100~300인 미만,300인 이상"</formula1>
    </dataValidation>
    <dataValidation sqref="C7" showDropDown="0" showInputMessage="0" showErrorMessage="0" allowBlank="1" type="list">
      <formula1>"있음,없음"</formula1>
    </dataValidation>
    <dataValidation sqref="C8" showDropDown="0" showInputMessage="0" showErrorMessage="0" allowBlank="1" type="list">
      <formula1>"설치,미설치"</formula1>
    </dataValidation>
    <dataValidation sqref="C9" showDropDown="0" showInputMessage="0" showErrorMessage="0" allowBlank="1" type="list">
      <formula1>"받음(수혜),받지 않음(일반)"</formula1>
    </dataValidation>
    <dataValidation sqref="E13:BB13" showDropDown="0" showInputMessage="0" showErrorMessage="0" allowBlank="1" type="list">
      <formula1>"사업주·담당자,근로자"</formula1>
    </dataValidation>
    <dataValidation sqref="E16:BB16 E17:BB17 E18:BB18 E19:BB19 E22:BB22 E24:BB24 E26:BB26 E28:BB28 E30:BB30 E37:BB37 E38:BB38 E39:BB39 E40:BB40 E42:BB42 E44:BB44 E45:BB45 E46:BB46 E47:BB47 E48:BB48 E50:BB50 E51:BB51 E52:BB52 E53:BB53 E55:BB55 E56:BB56 E57:BB57 E58:BB58 E59:BB59 E61:BB61 E62:BB62 E63:BB63 E64:BB64 E65:BB65" showDropDown="0" showInputMessage="0" showErrorMessage="0" allowBlank="1" type="list">
      <formula1>"1,2,3,4,5"</formula1>
    </dataValidation>
    <dataValidation sqref="E21:BB21 E23:BB23 E25:BB25 E27:BB27 E29:BB29" showDropDown="0" showInputMessage="0" showErrorMessage="0" allowBlank="1" type="list">
      <formula1>"시행,미시행"</formula1>
    </dataValidation>
    <dataValidation sqref="E32:BB32 E33:BB33 E34:BB34 E35:BB35" showDropDown="0" showInputMessage="0" showErrorMessage="0" allowBlank="1" type="list">
      <formula1>"발생,미발생"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9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  <col width="12" customWidth="1" min="11" max="11"/>
    <col hidden="1" width="13" customWidth="1" min="12" max="12"/>
  </cols>
  <sheetData>
    <row r="1">
      <c r="B1" s="6" t="inlineStr">
        <is>
          <t>노사관계 진단 결과</t>
        </is>
      </c>
    </row>
    <row r="2">
      <c r="B2" s="7" t="inlineStr">
        <is>
          <t>노란 칸에서 조건을 고르면 자동 계산됩니다. 점수는 재단 일터혁신지수 노사관계 영역과 같은 구조(100점)입니다.</t>
        </is>
      </c>
    </row>
    <row r="4">
      <c r="B4" s="8" t="inlineStr">
        <is>
          <t>응답자 유형</t>
        </is>
      </c>
      <c r="C4" s="18" t="inlineStr">
        <is>
          <t>사업주·담당자</t>
        </is>
      </c>
      <c r="D4" s="12" t="inlineStr">
        <is>
          <t>벤치마크는 사업주·담당자 응답 기준</t>
        </is>
      </c>
    </row>
    <row r="5">
      <c r="B5" s="8" t="inlineStr">
        <is>
          <t>비교 연도</t>
        </is>
      </c>
      <c r="C5" s="18" t="inlineStr">
        <is>
          <t>2025</t>
        </is>
      </c>
      <c r="D5" s="12" t="inlineStr">
        <is>
          <t>2025=최신(2025식 계산), 2024(보정)=갈등 이상치 보정</t>
        </is>
      </c>
    </row>
    <row r="6">
      <c r="B6" s="8" t="inlineStr">
        <is>
          <t>비교 집단</t>
        </is>
      </c>
      <c r="C6" s="18" t="inlineStr">
        <is>
          <t>자동</t>
        </is>
      </c>
      <c r="D6" s="12" t="inlineStr">
        <is>
          <t>자동=설문 기본정보의 컨설팅 수혜 여부를 따름</t>
        </is>
      </c>
    </row>
    <row r="7">
      <c r="B7" s="8" t="inlineStr">
        <is>
          <t>적용 계산식</t>
        </is>
      </c>
      <c r="C7" s="19">
        <f>IF(C5&amp;""="2025","2025식","2023·24식")</f>
        <v/>
      </c>
      <c r="D7" s="17">
        <f>"기관: "&amp;IF(설문!$C$4="","(미입력)",설문!$C$4)&amp;" · "&amp;설문!$C$5&amp;" · "&amp;설문!$C$6&amp;" · 노조 "&amp;설문!$C$7&amp;" · 노사협의회 "&amp;설문!$C$8</f>
        <v/>
      </c>
    </row>
    <row r="8">
      <c r="B8" s="8" t="inlineStr">
        <is>
          <t>적용 비교집단</t>
        </is>
      </c>
      <c r="C8" s="19">
        <f>IF(C6="자동",IF(설문!$C$9="받음(수혜)","수혜","일반"),C6)</f>
        <v/>
      </c>
    </row>
    <row r="9">
      <c r="B9" s="8" t="inlineStr">
        <is>
          <t>문항 비교 기준연도</t>
        </is>
      </c>
      <c r="C9" s="19">
        <f>IF(C5&amp;""="2024(보정)","2024",C5&amp;"")</f>
        <v/>
      </c>
    </row>
    <row r="11">
      <c r="B11" s="20" t="inlineStr">
        <is>
          <t>■ 종합</t>
        </is>
      </c>
    </row>
    <row r="12">
      <c r="B12" s="8" t="inlineStr">
        <is>
          <t>응답자 수(유효)</t>
        </is>
      </c>
      <c r="C12" s="21">
        <f>COUNTIFS(점수_응답자!$E$4:$BB$4,$C$4,점수_응답자!$E$5:$BB$5,1)</f>
        <v/>
      </c>
    </row>
    <row r="13">
      <c r="B13" s="8" t="inlineStr">
        <is>
          <t>종합점수(100점)</t>
        </is>
      </c>
      <c r="C13" s="22">
        <f>IFERROR(SUM(E23:E29)/SUMPRODUCT(D23:D29,--(E23:E29&lt;&gt;""))*100,"")</f>
        <v/>
      </c>
      <c r="D13">
        <f>IF(C13="","",REPT("■",ROUND(C13/5,0))&amp;REPT("□",20-ROUND(C13/5,0)))</f>
        <v/>
      </c>
    </row>
    <row r="14">
      <c r="B14" s="8" t="inlineStr">
        <is>
          <t>벤치마크(배점 반영)</t>
        </is>
      </c>
      <c r="C14" s="23">
        <f>IFERROR(SUMPRODUCT(D23:D29,G23:G29,--(E23:E29&lt;&gt;""))/SUMPRODUCT(D23:D29,--(E23:E29&lt;&gt;""))*100,"")</f>
        <v/>
      </c>
      <c r="D14">
        <f>IF(C14="","",REPT("■",ROUND(C14/5,0))&amp;REPT("□",20-ROUND(C14/5,0)))</f>
        <v/>
      </c>
    </row>
    <row r="15">
      <c r="B15" s="8" t="inlineStr">
        <is>
          <t>공식 공표 총점(참고)</t>
        </is>
      </c>
      <c r="C15" s="24">
        <f>IFERROR(INDEX(벤치마크!$E$65:$E$160,MATCH($C$5&amp;"|"&amp;$C$8&amp;"|"&amp;"전체",벤치마크!$A$65:$A$160,0)),"")</f>
        <v/>
      </c>
    </row>
    <row r="16">
      <c r="B16" s="8" t="inlineStr">
        <is>
          <t>벤치마크 대비 차이</t>
        </is>
      </c>
      <c r="C16" s="25">
        <f>IF(OR(C13="",C14=""),"",C13-C14)</f>
        <v/>
      </c>
    </row>
    <row r="17">
      <c r="B17" s="8" t="inlineStr">
        <is>
          <t>진단 등급</t>
        </is>
      </c>
      <c r="C17" s="26">
        <f>IF(C16="","",IF(C16&gt;=10,"S 매우 우수",IF(C16&gt;=3,"A 우수",IF(C16&gt;-3,"B 평균 수준",IF(C16&gt;-10,"C 미흡","D 매우 미흡")))))</f>
        <v/>
      </c>
    </row>
    <row r="18" ht="32" customHeight="1">
      <c r="B18" s="8" t="inlineStr">
        <is>
          <t>한 줄 해석</t>
        </is>
      </c>
      <c r="C18" s="27">
        <f>IF(C16="","응답을 입력하면 해석이 표시됩니다.","같은 해 "&amp;$C$8&amp;"사업장 평균보다 "&amp;TEXT(ABS(C16),"0.0")&amp;"점 "&amp;IF(C16&gt;=0,"높습니다.","낮습니다.")&amp;IF(C43="",""," 가장 큰 개선 여지는 ‘"&amp;C43&amp;"’입니다."))</f>
        <v/>
      </c>
      <c r="D18" s="28" t="n"/>
      <c r="E18" s="28" t="n"/>
      <c r="F18" s="28" t="n"/>
      <c r="G18" s="28" t="n"/>
      <c r="H18" s="28" t="n"/>
      <c r="I18" s="28" t="n"/>
      <c r="J18" s="29" t="n"/>
    </row>
    <row r="20">
      <c r="B20" s="20" t="inlineStr">
        <is>
          <t>■ 소분류(파트)별 점수 — 막대: ■=우리 달성률, 숫자=벤치마크 달성률</t>
        </is>
      </c>
    </row>
    <row r="22">
      <c r="B22" s="11" t="inlineStr">
        <is>
          <t>파트</t>
        </is>
      </c>
      <c r="C22" s="11" t="inlineStr">
        <is>
          <t>중분류</t>
        </is>
      </c>
      <c r="D22" s="11" t="inlineStr">
        <is>
          <t>배점</t>
        </is>
      </c>
      <c r="E22" s="11" t="inlineStr">
        <is>
          <t>우리 점수</t>
        </is>
      </c>
      <c r="F22" s="11" t="inlineStr">
        <is>
          <t>우리 달성률</t>
        </is>
      </c>
      <c r="G22" s="11" t="inlineStr">
        <is>
          <t>벤치 달성률</t>
        </is>
      </c>
      <c r="H22" s="11" t="inlineStr">
        <is>
          <t>벤치 점수</t>
        </is>
      </c>
      <c r="I22" s="11" t="inlineStr">
        <is>
          <t>차이(점)</t>
        </is>
      </c>
      <c r="J22" s="11" t="inlineStr">
        <is>
          <t>막대(우리 달성률)</t>
        </is>
      </c>
      <c r="K22" s="11" t="inlineStr">
        <is>
          <t>판정</t>
        </is>
      </c>
    </row>
    <row r="23">
      <c r="B23" s="17" t="inlineStr">
        <is>
          <t>P1 노사관계 전반 인식</t>
        </is>
      </c>
      <c r="C23" s="30" t="inlineStr">
        <is>
          <t>노사관계분위기</t>
        </is>
      </c>
      <c r="D23" s="31">
        <f>가중치!$F$45</f>
        <v/>
      </c>
      <c r="E23" s="31">
        <f>IF($C$7="2025식",IFERROR(AVERAGEIFS(점수_응답자!$E$128:$BB$128,점수_응답자!$E$4:$BB$4,$C$4,점수_응답자!$E$5:$BB$5,1),""),IFERROR(AVERAGEIFS(점수_응답자!$E$138:$BB$138,점수_응답자!$E$4:$BB$4,$C$4,점수_응답자!$E$5:$BB$5,1),""))</f>
        <v/>
      </c>
      <c r="F23" s="32">
        <f>IF(E23="","",E23/D23)</f>
        <v/>
      </c>
      <c r="G23" s="32">
        <f>IFERROR(INDEX(벤치마크!$E$6:$E$61,MATCH($C$5&amp;"|"&amp;$C$8&amp;"|"&amp;"P1",벤치마크!$A$6:$A$61,0)),"")</f>
        <v/>
      </c>
      <c r="H23" s="31">
        <f>IF(G23="","",G23*D23)</f>
        <v/>
      </c>
      <c r="I23" s="33">
        <f>IF(OR(E23="",H23=""),"",E23-H23)</f>
        <v/>
      </c>
      <c r="J23" s="30">
        <f>IF(F23="","",REPT("■",ROUND(F23*10,0))&amp;REPT("□",10-ROUND(F23*10,0)))</f>
        <v/>
      </c>
      <c r="K23" s="30">
        <f>IF(I23="","",IF(I23&gt;=0.5,"강점",IF(I23&lt;=-0.5,"약점","보통")))</f>
        <v/>
      </c>
      <c r="L23">
        <f>IF(E23="",-1,D23-E23+ROW()/1000000)</f>
        <v/>
      </c>
    </row>
    <row r="24">
      <c r="B24" s="17" t="inlineStr">
        <is>
          <t>P2 노조·근로자대표의 혁신 태도</t>
        </is>
      </c>
      <c r="C24" s="30" t="inlineStr">
        <is>
          <t>노사관계분위기</t>
        </is>
      </c>
      <c r="D24" s="31">
        <f>가중치!$F$46</f>
        <v/>
      </c>
      <c r="E24" s="31">
        <f>IF($C$7="2025식",IFERROR(AVERAGEIFS(점수_응답자!$E$129:$BB$129,점수_응답자!$E$4:$BB$4,$C$4,점수_응답자!$E$5:$BB$5,1),""),IFERROR(AVERAGEIFS(점수_응답자!$E$139:$BB$139,점수_응답자!$E$4:$BB$4,$C$4,점수_응답자!$E$5:$BB$5,1),""))</f>
        <v/>
      </c>
      <c r="F24" s="32">
        <f>IF(E24="","",E24/D24)</f>
        <v/>
      </c>
      <c r="G24" s="32">
        <f>IFERROR(INDEX(벤치마크!$E$6:$E$61,MATCH($C$5&amp;"|"&amp;$C$8&amp;"|"&amp;"P2",벤치마크!$A$6:$A$61,0)),"")</f>
        <v/>
      </c>
      <c r="H24" s="31">
        <f>IF(G24="","",G24*D24)</f>
        <v/>
      </c>
      <c r="I24" s="33">
        <f>IF(OR(E24="",H24=""),"",E24-H24)</f>
        <v/>
      </c>
      <c r="J24" s="30">
        <f>IF(F24="","",REPT("■",ROUND(F24*10,0))&amp;REPT("□",10-ROUND(F24*10,0)))</f>
        <v/>
      </c>
      <c r="K24" s="30">
        <f>IF(I24="","",IF(I24&gt;=0.5,"강점",IF(I24&lt;=-0.5,"약점","보통")))</f>
        <v/>
      </c>
      <c r="L24">
        <f>IF(E24="",-1,D24-E24+ROW()/1000000)</f>
        <v/>
      </c>
    </row>
    <row r="25">
      <c r="B25" s="17" t="inlineStr">
        <is>
          <t>P3 노사협력 프로그램</t>
        </is>
      </c>
      <c r="C25" s="30" t="inlineStr">
        <is>
          <t>노사협력 및 갈등</t>
        </is>
      </c>
      <c r="D25" s="31">
        <f>가중치!$F$47</f>
        <v/>
      </c>
      <c r="E25" s="31">
        <f>IF($C$7="2025식",IFERROR(AVERAGEIFS(점수_응답자!$E$130:$BB$130,점수_응답자!$E$4:$BB$4,$C$4,점수_응답자!$E$5:$BB$5,1),""),IFERROR(AVERAGEIFS(점수_응답자!$E$140:$BB$140,점수_응답자!$E$4:$BB$4,$C$4,점수_응답자!$E$5:$BB$5,1),""))</f>
        <v/>
      </c>
      <c r="F25" s="32">
        <f>IF(E25="","",E25/D25)</f>
        <v/>
      </c>
      <c r="G25" s="32">
        <f>IFERROR(INDEX(벤치마크!$E$6:$E$61,MATCH($C$5&amp;"|"&amp;$C$8&amp;"|"&amp;"P3",벤치마크!$A$6:$A$61,0)),"")</f>
        <v/>
      </c>
      <c r="H25" s="31">
        <f>IF(G25="","",G25*D25)</f>
        <v/>
      </c>
      <c r="I25" s="33">
        <f>IF(OR(E25="",H25=""),"",E25-H25)</f>
        <v/>
      </c>
      <c r="J25" s="30">
        <f>IF(F25="","",REPT("■",ROUND(F25*10,0))&amp;REPT("□",10-ROUND(F25*10,0)))</f>
        <v/>
      </c>
      <c r="K25" s="30">
        <f>IF(I25="","",IF(I25&gt;=0.5,"강점",IF(I25&lt;=-0.5,"약점","보통")))</f>
        <v/>
      </c>
      <c r="L25">
        <f>IF(E25="",-1,D25-E25+ROW()/1000000)</f>
        <v/>
      </c>
    </row>
    <row r="26">
      <c r="B26" s="17" t="inlineStr">
        <is>
          <t>P4 노사갈등(미발생)</t>
        </is>
      </c>
      <c r="C26" s="30" t="inlineStr">
        <is>
          <t>노사협력 및 갈등</t>
        </is>
      </c>
      <c r="D26" s="31">
        <f>가중치!$F$48</f>
        <v/>
      </c>
      <c r="E26" s="31">
        <f>IF($C$7="2025식",IFERROR(AVERAGEIFS(점수_응답자!$E$131:$BB$131,점수_응답자!$E$4:$BB$4,$C$4,점수_응답자!$E$5:$BB$5,1),""),IFERROR(AVERAGEIFS(점수_응답자!$E$141:$BB$141,점수_응답자!$E$4:$BB$4,$C$4,점수_응답자!$E$5:$BB$5,1),""))</f>
        <v/>
      </c>
      <c r="F26" s="32">
        <f>IF(E26="","",E26/D26)</f>
        <v/>
      </c>
      <c r="G26" s="32">
        <f>IFERROR(INDEX(벤치마크!$E$6:$E$61,MATCH($C$5&amp;"|"&amp;$C$8&amp;"|"&amp;"P4",벤치마크!$A$6:$A$61,0)),"")</f>
        <v/>
      </c>
      <c r="H26" s="31">
        <f>IF(G26="","",G26*D26)</f>
        <v/>
      </c>
      <c r="I26" s="33">
        <f>IF(OR(E26="",H26=""),"",E26-H26)</f>
        <v/>
      </c>
      <c r="J26" s="30">
        <f>IF(F26="","",REPT("■",ROUND(F26*10,0))&amp;REPT("□",10-ROUND(F26*10,0)))</f>
        <v/>
      </c>
      <c r="K26" s="30">
        <f>IF(I26="","",IF(I26&gt;=0.5,"강점",IF(I26&lt;=-0.5,"약점","보통")))</f>
        <v/>
      </c>
      <c r="L26">
        <f>IF(E26="",-1,D26-E26+ROW()/1000000)</f>
        <v/>
      </c>
    </row>
    <row r="27">
      <c r="B27" s="17" t="inlineStr">
        <is>
          <t>P5 정보공유·의사소통</t>
        </is>
      </c>
      <c r="C27" s="30" t="inlineStr">
        <is>
          <t>정보공유와 의사소통</t>
        </is>
      </c>
      <c r="D27" s="31">
        <f>가중치!$F$49</f>
        <v/>
      </c>
      <c r="E27" s="31">
        <f>IF($C$7="2025식",IFERROR(AVERAGEIFS(점수_응답자!$E$132:$BB$132,점수_응답자!$E$4:$BB$4,$C$4,점수_응답자!$E$5:$BB$5,1),""),IFERROR(AVERAGEIFS(점수_응답자!$E$142:$BB$142,점수_응답자!$E$4:$BB$4,$C$4,점수_응답자!$E$5:$BB$5,1),""))</f>
        <v/>
      </c>
      <c r="F27" s="32">
        <f>IF(E27="","",E27/D27)</f>
        <v/>
      </c>
      <c r="G27" s="32">
        <f>IFERROR(INDEX(벤치마크!$E$6:$E$61,MATCH($C$5&amp;"|"&amp;$C$8&amp;"|"&amp;"P5",벤치마크!$A$6:$A$61,0)),"")</f>
        <v/>
      </c>
      <c r="H27" s="31">
        <f>IF(G27="","",G27*D27)</f>
        <v/>
      </c>
      <c r="I27" s="33">
        <f>IF(OR(E27="",H27=""),"",E27-H27)</f>
        <v/>
      </c>
      <c r="J27" s="30">
        <f>IF(F27="","",REPT("■",ROUND(F27*10,0))&amp;REPT("□",10-ROUND(F27*10,0)))</f>
        <v/>
      </c>
      <c r="K27" s="30">
        <f>IF(I27="","",IF(I27&gt;=0.5,"강점",IF(I27&lt;=-0.5,"약점","보통")))</f>
        <v/>
      </c>
      <c r="L27">
        <f>IF(E27="",-1,D27-E27+ROW()/1000000)</f>
        <v/>
      </c>
    </row>
    <row r="28">
      <c r="B28" s="17" t="inlineStr">
        <is>
          <t>P6 고충처리</t>
        </is>
      </c>
      <c r="C28" s="30" t="inlineStr">
        <is>
          <t>고충처리</t>
        </is>
      </c>
      <c r="D28" s="31">
        <f>가중치!$F$50</f>
        <v/>
      </c>
      <c r="E28" s="31">
        <f>IF($C$7="2025식",IFERROR(AVERAGEIFS(점수_응답자!$E$133:$BB$133,점수_응답자!$E$4:$BB$4,$C$4,점수_응답자!$E$5:$BB$5,1),""),IFERROR(AVERAGEIFS(점수_응답자!$E$143:$BB$143,점수_응답자!$E$4:$BB$4,$C$4,점수_응답자!$E$5:$BB$5,1),""))</f>
        <v/>
      </c>
      <c r="F28" s="32">
        <f>IF(E28="","",E28/D28)</f>
        <v/>
      </c>
      <c r="G28" s="32">
        <f>IFERROR(INDEX(벤치마크!$E$6:$E$61,MATCH($C$5&amp;"|"&amp;$C$8&amp;"|"&amp;"P6",벤치마크!$A$6:$A$61,0)),"")</f>
        <v/>
      </c>
      <c r="H28" s="31">
        <f>IF(G28="","",G28*D28)</f>
        <v/>
      </c>
      <c r="I28" s="33">
        <f>IF(OR(E28="",H28=""),"",E28-H28)</f>
        <v/>
      </c>
      <c r="J28" s="30">
        <f>IF(F28="","",REPT("■",ROUND(F28*10,0))&amp;REPT("□",10-ROUND(F28*10,0)))</f>
        <v/>
      </c>
      <c r="K28" s="30">
        <f>IF(I28="","",IF(I28&gt;=0.5,"강점",IF(I28&lt;=-0.5,"약점","보통")))</f>
        <v/>
      </c>
      <c r="L28">
        <f>IF(E28="",-1,D28-E28+ROW()/1000000)</f>
        <v/>
      </c>
    </row>
    <row r="29">
      <c r="B29" s="17" t="inlineStr">
        <is>
          <t>P7 노사협의회 활용성</t>
        </is>
      </c>
      <c r="C29" s="30" t="inlineStr">
        <is>
          <t>노사협의회</t>
        </is>
      </c>
      <c r="D29" s="31">
        <f>가중치!$F$51</f>
        <v/>
      </c>
      <c r="E29" s="31">
        <f>IF($C$7="2025식",IFERROR(AVERAGEIFS(점수_응답자!$E$134:$BB$134,점수_응답자!$E$4:$BB$4,$C$4,점수_응답자!$E$5:$BB$5,1),""),IFERROR(AVERAGEIFS(점수_응답자!$E$144:$BB$144,점수_응답자!$E$4:$BB$4,$C$4,점수_응답자!$E$5:$BB$5,1),""))</f>
        <v/>
      </c>
      <c r="F29" s="32">
        <f>IF(E29="","",E29/D29)</f>
        <v/>
      </c>
      <c r="G29" s="32">
        <f>IFERROR(INDEX(벤치마크!$E$6:$E$61,MATCH($C$5&amp;"|"&amp;$C$8&amp;"|"&amp;"P7",벤치마크!$A$6:$A$61,0)),"")</f>
        <v/>
      </c>
      <c r="H29" s="31">
        <f>IF(G29="","",G29*D29)</f>
        <v/>
      </c>
      <c r="I29" s="33">
        <f>IF(OR(E29="",H29=""),"",E29-H29)</f>
        <v/>
      </c>
      <c r="J29" s="30">
        <f>IF(F29="","",REPT("■",ROUND(F29*10,0))&amp;REPT("□",10-ROUND(F29*10,0)))</f>
        <v/>
      </c>
      <c r="K29" s="30">
        <f>IF(I29="","",IF(I29&gt;=0.5,"강점",IF(I29&lt;=-0.5,"약점","보통")))</f>
        <v/>
      </c>
      <c r="L29">
        <f>IF(E29="",-1,D29-E29+ROW()/1000000)</f>
        <v/>
      </c>
    </row>
    <row r="30">
      <c r="B30" s="8" t="inlineStr">
        <is>
          <t>합계</t>
        </is>
      </c>
      <c r="D30" s="34">
        <f>SUM(D23:D29)</f>
        <v/>
      </c>
      <c r="E30" s="34">
        <f>IF(COUNT(E23:E29)=0,"",SUM(E23:E29))</f>
        <v/>
      </c>
      <c r="H30" s="34">
        <f>SUM(H23:H29)</f>
        <v/>
      </c>
    </row>
    <row r="31">
      <c r="B31" s="7" t="inlineStr">
        <is>
          <t>※ 노사협의회 미설치·50인 미만·무노조이면 노사협의회 파트를 빼고 100점으로 환산합니다(그 밖의 미설치는 0점).</t>
        </is>
      </c>
    </row>
    <row r="33">
      <c r="B33" s="20" t="inlineStr">
        <is>
          <t>■ 중분류(공식 5개 하위부문)</t>
        </is>
      </c>
    </row>
    <row r="34">
      <c r="B34" s="11" t="inlineStr">
        <is>
          <t>중분류</t>
        </is>
      </c>
      <c r="C34" s="11" t="inlineStr">
        <is>
          <t>배점</t>
        </is>
      </c>
      <c r="D34" s="11" t="inlineStr">
        <is>
          <t>우리 점수</t>
        </is>
      </c>
      <c r="E34" s="11" t="inlineStr">
        <is>
          <t>달성률</t>
        </is>
      </c>
      <c r="F34" s="11" t="inlineStr">
        <is>
          <t>벤치 점수</t>
        </is>
      </c>
      <c r="G34" s="11" t="inlineStr">
        <is>
          <t>차이(점)</t>
        </is>
      </c>
    </row>
    <row r="35">
      <c r="B35" s="17" t="inlineStr">
        <is>
          <t>노사관계분위기</t>
        </is>
      </c>
      <c r="C35" s="31">
        <f>SUMIF($C$23:$C$29,B35,$D$23:$D$29)</f>
        <v/>
      </c>
      <c r="D35" s="31">
        <f>IF(COUNTIFS($C$23:$C$29,B35,$E$23:$E$29,"&gt;=0")=0,"",SUMIF($C$23:$C$29,B35,$E$23:$E$29))</f>
        <v/>
      </c>
      <c r="E35" s="32">
        <f>IF(D35="","",D35/C35)</f>
        <v/>
      </c>
      <c r="F35" s="31">
        <f>SUMIF($C$23:$C$29,B35,$H$23:$H$29)</f>
        <v/>
      </c>
      <c r="G35" s="33">
        <f>IF(D35="","",D35-F35)</f>
        <v/>
      </c>
    </row>
    <row r="36">
      <c r="B36" s="17" t="inlineStr">
        <is>
          <t>노사협력 및 갈등</t>
        </is>
      </c>
      <c r="C36" s="31">
        <f>SUMIF($C$23:$C$29,B36,$D$23:$D$29)</f>
        <v/>
      </c>
      <c r="D36" s="31">
        <f>IF(COUNTIFS($C$23:$C$29,B36,$E$23:$E$29,"&gt;=0")=0,"",SUMIF($C$23:$C$29,B36,$E$23:$E$29))</f>
        <v/>
      </c>
      <c r="E36" s="32">
        <f>IF(D36="","",D36/C36)</f>
        <v/>
      </c>
      <c r="F36" s="31">
        <f>SUMIF($C$23:$C$29,B36,$H$23:$H$29)</f>
        <v/>
      </c>
      <c r="G36" s="33">
        <f>IF(D36="","",D36-F36)</f>
        <v/>
      </c>
    </row>
    <row r="37">
      <c r="B37" s="17" t="inlineStr">
        <is>
          <t>정보공유와 의사소통</t>
        </is>
      </c>
      <c r="C37" s="31">
        <f>SUMIF($C$23:$C$29,B37,$D$23:$D$29)</f>
        <v/>
      </c>
      <c r="D37" s="31">
        <f>IF(COUNTIFS($C$23:$C$29,B37,$E$23:$E$29,"&gt;=0")=0,"",SUMIF($C$23:$C$29,B37,$E$23:$E$29))</f>
        <v/>
      </c>
      <c r="E37" s="32">
        <f>IF(D37="","",D37/C37)</f>
        <v/>
      </c>
      <c r="F37" s="31">
        <f>SUMIF($C$23:$C$29,B37,$H$23:$H$29)</f>
        <v/>
      </c>
      <c r="G37" s="33">
        <f>IF(D37="","",D37-F37)</f>
        <v/>
      </c>
    </row>
    <row r="38">
      <c r="B38" s="17" t="inlineStr">
        <is>
          <t>고충처리</t>
        </is>
      </c>
      <c r="C38" s="31">
        <f>SUMIF($C$23:$C$29,B38,$D$23:$D$29)</f>
        <v/>
      </c>
      <c r="D38" s="31">
        <f>IF(COUNTIFS($C$23:$C$29,B38,$E$23:$E$29,"&gt;=0")=0,"",SUMIF($C$23:$C$29,B38,$E$23:$E$29))</f>
        <v/>
      </c>
      <c r="E38" s="32">
        <f>IF(D38="","",D38/C38)</f>
        <v/>
      </c>
      <c r="F38" s="31">
        <f>SUMIF($C$23:$C$29,B38,$H$23:$H$29)</f>
        <v/>
      </c>
      <c r="G38" s="33">
        <f>IF(D38="","",D38-F38)</f>
        <v/>
      </c>
    </row>
    <row r="39">
      <c r="B39" s="17" t="inlineStr">
        <is>
          <t>노사협의회</t>
        </is>
      </c>
      <c r="C39" s="31">
        <f>SUMIF($C$23:$C$29,B39,$D$23:$D$29)</f>
        <v/>
      </c>
      <c r="D39" s="31">
        <f>IF(COUNTIFS($C$23:$C$29,B39,$E$23:$E$29,"&gt;=0")=0,"",SUMIF($C$23:$C$29,B39,$E$23:$E$29))</f>
        <v/>
      </c>
      <c r="E39" s="32">
        <f>IF(D39="","",D39/C39)</f>
        <v/>
      </c>
      <c r="F39" s="31">
        <f>SUMIF($C$23:$C$29,B39,$H$23:$H$29)</f>
        <v/>
      </c>
      <c r="G39" s="33">
        <f>IF(D39="","",D39-F39)</f>
        <v/>
      </c>
    </row>
    <row r="41">
      <c r="B41" s="20" t="inlineStr">
        <is>
          <t>■ 우선 개선과제 TOP 3 — ‘잃은 점수’(배점−우리 점수)가 큰 순</t>
        </is>
      </c>
    </row>
    <row r="42">
      <c r="B42" s="11" t="inlineStr">
        <is>
          <t>순위</t>
        </is>
      </c>
      <c r="C42" s="11" t="inlineStr">
        <is>
          <t>파트</t>
        </is>
      </c>
      <c r="D42" s="11" t="inlineStr">
        <is>
          <t>잃은 점수</t>
        </is>
      </c>
      <c r="E42" s="11" t="inlineStr">
        <is>
          <t>벤치 대비</t>
        </is>
      </c>
      <c r="F42" s="11" t="inlineStr">
        <is>
          <t>처방</t>
        </is>
      </c>
    </row>
    <row r="43" ht="44" customHeight="1">
      <c r="B43" s="30" t="n">
        <v>1</v>
      </c>
      <c r="C43" s="17">
        <f>IF(LARGE($L$23:$L$29,1)&lt;0,"",INDEX($B$23:$B$29,MATCH(LARGE($L$23:$L$29,1),$L$23:$L$29,0)))</f>
        <v/>
      </c>
      <c r="D43" s="31">
        <f>IF(C43="","",INDEX($D$23:$D$29,MATCH(LARGE($L$23:$L$29,1),$L$23:$L$29,0))-INDEX($E$23:$E$29,MATCH(LARGE($L$23:$L$29,1),$L$23:$L$29,0)))</f>
        <v/>
      </c>
      <c r="E43" s="33">
        <f>IF(C43="","",INDEX($I$23:$I$29,MATCH(LARGE($L$23:$L$29,1),$L$23:$L$29,0)))</f>
        <v/>
      </c>
      <c r="F43" s="17">
        <f>IF(C43="","",INDEX(벤치마크!$B$320:$B$326,MATCH(LEFT(C43,2),벤치마크!$A$320:$A$326,0)))</f>
        <v/>
      </c>
      <c r="G43" s="28" t="n"/>
      <c r="H43" s="28" t="n"/>
      <c r="I43" s="28" t="n"/>
      <c r="J43" s="29" t="n"/>
    </row>
    <row r="44" ht="44" customHeight="1">
      <c r="B44" s="30" t="n">
        <v>2</v>
      </c>
      <c r="C44" s="17">
        <f>IF(LARGE($L$23:$L$29,2)&lt;0,"",INDEX($B$23:$B$29,MATCH(LARGE($L$23:$L$29,2),$L$23:$L$29,0)))</f>
        <v/>
      </c>
      <c r="D44" s="31">
        <f>IF(C44="","",INDEX($D$23:$D$29,MATCH(LARGE($L$23:$L$29,2),$L$23:$L$29,0))-INDEX($E$23:$E$29,MATCH(LARGE($L$23:$L$29,2),$L$23:$L$29,0)))</f>
        <v/>
      </c>
      <c r="E44" s="33">
        <f>IF(C44="","",INDEX($I$23:$I$29,MATCH(LARGE($L$23:$L$29,2),$L$23:$L$29,0)))</f>
        <v/>
      </c>
      <c r="F44" s="17">
        <f>IF(C44="","",INDEX(벤치마크!$B$320:$B$326,MATCH(LEFT(C44,2),벤치마크!$A$320:$A$326,0)))</f>
        <v/>
      </c>
      <c r="G44" s="28" t="n"/>
      <c r="H44" s="28" t="n"/>
      <c r="I44" s="28" t="n"/>
      <c r="J44" s="29" t="n"/>
    </row>
    <row r="45" ht="44" customHeight="1">
      <c r="B45" s="30" t="n">
        <v>3</v>
      </c>
      <c r="C45" s="17">
        <f>IF(LARGE($L$23:$L$29,3)&lt;0,"",INDEX($B$23:$B$29,MATCH(LARGE($L$23:$L$29,3),$L$23:$L$29,0)))</f>
        <v/>
      </c>
      <c r="D45" s="31">
        <f>IF(C45="","",INDEX($D$23:$D$29,MATCH(LARGE($L$23:$L$29,3),$L$23:$L$29,0))-INDEX($E$23:$E$29,MATCH(LARGE($L$23:$L$29,3),$L$23:$L$29,0)))</f>
        <v/>
      </c>
      <c r="E45" s="33">
        <f>IF(C45="","",INDEX($I$23:$I$29,MATCH(LARGE($L$23:$L$29,3),$L$23:$L$29,0)))</f>
        <v/>
      </c>
      <c r="F45" s="17">
        <f>IF(C45="","",INDEX(벤치마크!$B$320:$B$326,MATCH(LEFT(C45,2),벤치마크!$A$320:$A$326,0)))</f>
        <v/>
      </c>
      <c r="G45" s="28" t="n"/>
      <c r="H45" s="28" t="n"/>
      <c r="I45" s="28" t="n"/>
      <c r="J45" s="29" t="n"/>
    </row>
    <row r="47">
      <c r="B47" s="20" t="inlineStr">
        <is>
          <t>■ 같은 조건 사업장과 비교(공식 공표 총점)</t>
        </is>
      </c>
    </row>
    <row r="48">
      <c r="B48" s="11" t="inlineStr">
        <is>
          <t>비교 대상</t>
        </is>
      </c>
      <c r="C48" s="11" t="inlineStr">
        <is>
          <t>공표 총점</t>
        </is>
      </c>
      <c r="D48" s="11" t="inlineStr">
        <is>
          <t>우리 점수</t>
        </is>
      </c>
      <c r="E48" s="11" t="inlineStr">
        <is>
          <t>차이</t>
        </is>
      </c>
    </row>
    <row r="49">
      <c r="B49" s="17">
        <f>"전체 평균"</f>
        <v/>
      </c>
      <c r="C49" s="31">
        <f>IFERROR(INDEX(벤치마크!$E$65:$E$160,MATCH($C$5&amp;"|"&amp;$C$8&amp;"|"&amp;"전체",벤치마크!$A$65:$A$160,0)),"")</f>
        <v/>
      </c>
      <c r="D49" s="35">
        <f>C13</f>
        <v/>
      </c>
      <c r="E49" s="36">
        <f>IF(OR(C49="",D49=""),"",D49-C49)</f>
        <v/>
      </c>
    </row>
    <row r="50">
      <c r="B50" s="17">
        <f>"규모: "&amp;설문!$C$6</f>
        <v/>
      </c>
      <c r="C50" s="31">
        <f>IFERROR(INDEX(벤치마크!$E$65:$E$160,MATCH($C$5&amp;"|"&amp;$C$8&amp;"|"&amp;설문!$C$6,벤치마크!$A$65:$A$160,0)),"")</f>
        <v/>
      </c>
      <c r="D50" s="35">
        <f>C13</f>
        <v/>
      </c>
      <c r="E50" s="36">
        <f>IF(OR(C50="",D50=""),"",D50-C50)</f>
        <v/>
      </c>
    </row>
    <row r="51">
      <c r="B51" s="17">
        <f>"업종: "&amp;설문!$C$5</f>
        <v/>
      </c>
      <c r="C51" s="31">
        <f>IFERROR(INDEX(벤치마크!$E$65:$E$160,MATCH($C$5&amp;"|"&amp;$C$8&amp;"|"&amp;설문!$C$5,벤치마크!$A$65:$A$160,0)),"")</f>
        <v/>
      </c>
      <c r="D51" s="35">
        <f>C13</f>
        <v/>
      </c>
      <c r="E51" s="36">
        <f>IF(OR(C51="",D51=""),"",D51-C51)</f>
        <v/>
      </c>
    </row>
    <row r="52">
      <c r="B52" s="17">
        <f>"노조 "&amp;설문!$C$7</f>
        <v/>
      </c>
      <c r="C52" s="31">
        <f>IFERROR(INDEX(벤치마크!$E$65:$E$160,MATCH($C$5&amp;"|"&amp;$C$8&amp;"|"&amp;"노조 "&amp;설문!$C$7,벤치마크!$A$65:$A$160,0)),"")</f>
        <v/>
      </c>
      <c r="D52" s="35">
        <f>C13</f>
        <v/>
      </c>
      <c r="E52" s="36">
        <f>IF(OR(C52="",D52=""),"",D52-C52)</f>
        <v/>
      </c>
    </row>
    <row r="53">
      <c r="B53" s="7" t="inlineStr">
        <is>
          <t>※ 공표 총점은 기본 배점 기준입니다. 가중치를 바꿨다면 위 ‘벤치마크(배점 반영)’을 보세요. 2025 수혜 표는 일부 세부값 정합성 이슈가 있어 참고용입니다.</t>
        </is>
      </c>
    </row>
    <row r="55">
      <c r="B55" s="20" t="inlineStr">
        <is>
          <t>■ 문항별 강·약점(우리 평균 vs 공표 평균) — 2023·2025는 문16·17·18만 공개되어 나머지는 2024 평균 사용</t>
        </is>
      </c>
    </row>
    <row r="56">
      <c r="B56" s="11" t="inlineStr">
        <is>
          <t>문항ID</t>
        </is>
      </c>
      <c r="C56" s="11" t="inlineStr">
        <is>
          <t>문항</t>
        </is>
      </c>
      <c r="D56" s="11" t="inlineStr">
        <is>
          <t>우리 평균</t>
        </is>
      </c>
      <c r="E56" s="11" t="inlineStr">
        <is>
          <t>벤치마크</t>
        </is>
      </c>
      <c r="F56" s="11" t="inlineStr">
        <is>
          <t>차이</t>
        </is>
      </c>
      <c r="G56" s="11" t="inlineStr">
        <is>
          <t>기준연도</t>
        </is>
      </c>
      <c r="H56" s="11" t="inlineStr">
        <is>
          <t>판정</t>
        </is>
      </c>
    </row>
    <row r="57">
      <c r="B57" s="30" t="inlineStr">
        <is>
          <t>Q16_1</t>
        </is>
      </c>
      <c r="C57" s="17" t="inlineStr">
        <is>
          <t>노사의 이해관계가 크게 다르지 않아 협조가 잘 이루어진다</t>
        </is>
      </c>
      <c r="D57" s="31">
        <f>IFERROR(AVERAGEIFS(점수_응답자!$E$8:$BB$8,점수_응답자!$E$4:$BB$4,$C$4,점수_응답자!$E$5:$BB$5,1),"")</f>
        <v/>
      </c>
      <c r="E57" s="31">
        <f>IFERROR(INDEX(벤치마크!$E$164:$E$317,MATCH($C$9&amp;"|"&amp;$C$8&amp;"|"&amp;"Q16_1",벤치마크!$A$164:$A$317,0)),IFERROR(INDEX(벤치마크!$E$164:$E$317,MATCH("2024|"&amp;$C$8&amp;"|"&amp;"Q16_1",벤치마크!$A$164:$A$317,0)),""))</f>
        <v/>
      </c>
      <c r="F57" s="33">
        <f>IF(OR(D57="",E57=""),"",D57-E57)</f>
        <v/>
      </c>
      <c r="G57" s="30">
        <f>IFERROR(MATCH($C$9&amp;"|"&amp;$C$8&amp;"|"&amp;"Q16_1",벤치마크!$A$164:$A$317,0)*0+$C$9,IFERROR(MATCH("2024|"&amp;$C$8&amp;"|"&amp;"Q16_1",벤치마크!$A$164:$A$317,0)*0+2024,""))</f>
        <v/>
      </c>
      <c r="H57" s="30">
        <f>IF(OR(F57=""),"",IF(F57&gt;=0.3,"강점",IF(F57&lt;=-0.3,"약점","보통")))</f>
        <v/>
      </c>
    </row>
    <row r="58">
      <c r="B58" s="30" t="inlineStr">
        <is>
          <t>Q16_2</t>
        </is>
      </c>
      <c r="C58" s="17" t="inlineStr">
        <is>
          <t>노사가 서로 상대방의 일에 대해 반대하지 않는다</t>
        </is>
      </c>
      <c r="D58" s="31">
        <f>IFERROR(AVERAGEIFS(점수_응답자!$E$9:$BB$9,점수_응답자!$E$4:$BB$4,$C$4,점수_응답자!$E$5:$BB$5,1),"")</f>
        <v/>
      </c>
      <c r="E58" s="31">
        <f>IFERROR(INDEX(벤치마크!$E$164:$E$317,MATCH($C$9&amp;"|"&amp;$C$8&amp;"|"&amp;"Q16_2",벤치마크!$A$164:$A$317,0)),IFERROR(INDEX(벤치마크!$E$164:$E$317,MATCH("2024|"&amp;$C$8&amp;"|"&amp;"Q16_2",벤치마크!$A$164:$A$317,0)),""))</f>
        <v/>
      </c>
      <c r="F58" s="33">
        <f>IF(OR(D58="",E58=""),"",D58-E58)</f>
        <v/>
      </c>
      <c r="G58" s="30">
        <f>IFERROR(MATCH($C$9&amp;"|"&amp;$C$8&amp;"|"&amp;"Q16_2",벤치마크!$A$164:$A$317,0)*0+$C$9,IFERROR(MATCH("2024|"&amp;$C$8&amp;"|"&amp;"Q16_2",벤치마크!$A$164:$A$317,0)*0+2024,""))</f>
        <v/>
      </c>
      <c r="H58" s="30">
        <f>IF(OR(F58=""),"",IF(F58&gt;=0.3,"강점",IF(F58&lt;=-0.3,"약점","보통")))</f>
        <v/>
      </c>
    </row>
    <row r="59">
      <c r="B59" s="30" t="inlineStr">
        <is>
          <t>Q16_3</t>
        </is>
      </c>
      <c r="C59" s="17" t="inlineStr">
        <is>
          <t>노사 모두가 회사를 더욱 일하기 좋은 곳으로 만들려고 노력한다</t>
        </is>
      </c>
      <c r="D59" s="31">
        <f>IFERROR(AVERAGEIFS(점수_응답자!$E$10:$BB$10,점수_응답자!$E$4:$BB$4,$C$4,점수_응답자!$E$5:$BB$5,1),"")</f>
        <v/>
      </c>
      <c r="E59" s="31">
        <f>IFERROR(INDEX(벤치마크!$E$164:$E$317,MATCH($C$9&amp;"|"&amp;$C$8&amp;"|"&amp;"Q16_3",벤치마크!$A$164:$A$317,0)),IFERROR(INDEX(벤치마크!$E$164:$E$317,MATCH("2024|"&amp;$C$8&amp;"|"&amp;"Q16_3",벤치마크!$A$164:$A$317,0)),""))</f>
        <v/>
      </c>
      <c r="F59" s="33">
        <f>IF(OR(D59="",E59=""),"",D59-E59)</f>
        <v/>
      </c>
      <c r="G59" s="30">
        <f>IFERROR(MATCH($C$9&amp;"|"&amp;$C$8&amp;"|"&amp;"Q16_3",벤치마크!$A$164:$A$317,0)*0+$C$9,IFERROR(MATCH("2024|"&amp;$C$8&amp;"|"&amp;"Q16_3",벤치마크!$A$164:$A$317,0)*0+2024,""))</f>
        <v/>
      </c>
      <c r="H59" s="30">
        <f>IF(OR(F59=""),"",IF(F59&gt;=0.3,"강점",IF(F59&lt;=-0.3,"약점","보통")))</f>
        <v/>
      </c>
    </row>
    <row r="60">
      <c r="B60" s="30" t="inlineStr">
        <is>
          <t>Q16_4</t>
        </is>
      </c>
      <c r="C60" s="17" t="inlineStr">
        <is>
          <t>그간 노사관계가 협력적이었다</t>
        </is>
      </c>
      <c r="D60" s="31">
        <f>IFERROR(AVERAGEIFS(점수_응답자!$E$11:$BB$11,점수_응답자!$E$4:$BB$4,$C$4,점수_응답자!$E$5:$BB$5,1),"")</f>
        <v/>
      </c>
      <c r="E60" s="31">
        <f>IFERROR(INDEX(벤치마크!$E$164:$E$317,MATCH($C$9&amp;"|"&amp;$C$8&amp;"|"&amp;"Q16_4",벤치마크!$A$164:$A$317,0)),IFERROR(INDEX(벤치마크!$E$164:$E$317,MATCH("2024|"&amp;$C$8&amp;"|"&amp;"Q16_4",벤치마크!$A$164:$A$317,0)),""))</f>
        <v/>
      </c>
      <c r="F60" s="33">
        <f>IF(OR(D60="",E60=""),"",D60-E60)</f>
        <v/>
      </c>
      <c r="G60" s="30">
        <f>IFERROR(MATCH($C$9&amp;"|"&amp;$C$8&amp;"|"&amp;"Q16_4",벤치마크!$A$164:$A$317,0)*0+$C$9,IFERROR(MATCH("2024|"&amp;$C$8&amp;"|"&amp;"Q16_4",벤치마크!$A$164:$A$317,0)*0+2024,""))</f>
        <v/>
      </c>
      <c r="H60" s="30">
        <f>IF(OR(F60=""),"",IF(F60&gt;=0.3,"강점",IF(F60&lt;=-0.3,"약점","보통")))</f>
        <v/>
      </c>
    </row>
    <row r="61">
      <c r="B61" s="30" t="inlineStr">
        <is>
          <t>Q17_1</t>
        </is>
      </c>
      <c r="C61" s="17" t="inlineStr">
        <is>
          <t>노사협력선언·노사공동결의대회 — 시행률</t>
        </is>
      </c>
      <c r="D61" s="32">
        <f>IFERROR(AVERAGEIFS(점수_응답자!$E$12:$BB$12,점수_응답자!$E$4:$BB$4,$C$4,점수_응답자!$E$5:$BB$5,1),"")</f>
        <v/>
      </c>
      <c r="E61" s="32">
        <f>IFERROR(INDEX(벤치마크!$E$164:$E$317,MATCH($C$9&amp;"|"&amp;$C$8&amp;"|"&amp;"Q17_1",벤치마크!$A$164:$A$317,0)),IFERROR(INDEX(벤치마크!$E$164:$E$317,MATCH("2024|"&amp;$C$8&amp;"|"&amp;"Q17_1",벤치마크!$A$164:$A$317,0)),""))</f>
        <v/>
      </c>
      <c r="F61" s="37">
        <f>IF(OR(D61="",E61=""),"",D61-E61)</f>
        <v/>
      </c>
      <c r="G61" s="30">
        <f>IFERROR(MATCH($C$9&amp;"|"&amp;$C$8&amp;"|"&amp;"Q17_1",벤치마크!$A$164:$A$317,0)*0+$C$9,IFERROR(MATCH("2024|"&amp;$C$8&amp;"|"&amp;"Q17_1",벤치마크!$A$164:$A$317,0)*0+2024,""))</f>
        <v/>
      </c>
      <c r="H61" s="30">
        <f>IF(F61="","",IF(F61&gt;=0.15,"강점",IF(F61&lt;=-0.15,"약점","보통")))</f>
        <v/>
      </c>
    </row>
    <row r="62">
      <c r="B62" s="30" t="inlineStr">
        <is>
          <t>Q17_1A</t>
        </is>
      </c>
      <c r="C62" s="17" t="inlineStr">
        <is>
          <t>노사협력선언·노사공동결의대회 — 활성화 정도(시행한 경우만)</t>
        </is>
      </c>
      <c r="D62" s="31">
        <f>IFERROR(AVERAGEIFS(점수_응답자!$E$13:$BB$13,점수_응답자!$E$4:$BB$4,$C$4,점수_응답자!$E$5:$BB$5,1),"")</f>
        <v/>
      </c>
      <c r="E62" s="31">
        <f>IFERROR(INDEX(벤치마크!$E$164:$E$317,MATCH($C$9&amp;"|"&amp;$C$8&amp;"|"&amp;"Q17_1A",벤치마크!$A$164:$A$317,0)),IFERROR(INDEX(벤치마크!$E$164:$E$317,MATCH("2024|"&amp;$C$8&amp;"|"&amp;"Q17_1A",벤치마크!$A$164:$A$317,0)),""))</f>
        <v/>
      </c>
      <c r="F62" s="33">
        <f>IF(OR(D62="",E62=""),"",D62-E62)</f>
        <v/>
      </c>
      <c r="G62" s="30">
        <f>IFERROR(MATCH($C$9&amp;"|"&amp;$C$8&amp;"|"&amp;"Q17_1A",벤치마크!$A$164:$A$317,0)*0+$C$9,IFERROR(MATCH("2024|"&amp;$C$8&amp;"|"&amp;"Q17_1A",벤치마크!$A$164:$A$317,0)*0+2024,""))</f>
        <v/>
      </c>
      <c r="H62" s="30">
        <f>IF(OR(F62=""),"",IF(F62&gt;=0.3,"강점",IF(F62&lt;=-0.3,"약점","보통")))</f>
        <v/>
      </c>
    </row>
    <row r="63">
      <c r="B63" s="30" t="inlineStr">
        <is>
          <t>Q17_2</t>
        </is>
      </c>
      <c r="C63" s="17" t="inlineStr">
        <is>
          <t>노사공동기구·위원회를 통한 문제해결 — 시행률</t>
        </is>
      </c>
      <c r="D63" s="32">
        <f>IFERROR(AVERAGEIFS(점수_응답자!$E$14:$BB$14,점수_응답자!$E$4:$BB$4,$C$4,점수_응답자!$E$5:$BB$5,1),"")</f>
        <v/>
      </c>
      <c r="E63" s="32">
        <f>IFERROR(INDEX(벤치마크!$E$164:$E$317,MATCH($C$9&amp;"|"&amp;$C$8&amp;"|"&amp;"Q17_2",벤치마크!$A$164:$A$317,0)),IFERROR(INDEX(벤치마크!$E$164:$E$317,MATCH("2024|"&amp;$C$8&amp;"|"&amp;"Q17_2",벤치마크!$A$164:$A$317,0)),""))</f>
        <v/>
      </c>
      <c r="F63" s="37">
        <f>IF(OR(D63="",E63=""),"",D63-E63)</f>
        <v/>
      </c>
      <c r="G63" s="30">
        <f>IFERROR(MATCH($C$9&amp;"|"&amp;$C$8&amp;"|"&amp;"Q17_2",벤치마크!$A$164:$A$317,0)*0+$C$9,IFERROR(MATCH("2024|"&amp;$C$8&amp;"|"&amp;"Q17_2",벤치마크!$A$164:$A$317,0)*0+2024,""))</f>
        <v/>
      </c>
      <c r="H63" s="30">
        <f>IF(F63="","",IF(F63&gt;=0.15,"강점",IF(F63&lt;=-0.15,"약점","보통")))</f>
        <v/>
      </c>
    </row>
    <row r="64">
      <c r="B64" s="30" t="inlineStr">
        <is>
          <t>Q17_2A</t>
        </is>
      </c>
      <c r="C64" s="17" t="inlineStr">
        <is>
          <t>노사공동기구·위원회를 통한 문제해결 — 활성화 정도(시행한 경우만)</t>
        </is>
      </c>
      <c r="D64" s="31">
        <f>IFERROR(AVERAGEIFS(점수_응답자!$E$15:$BB$15,점수_응답자!$E$4:$BB$4,$C$4,점수_응답자!$E$5:$BB$5,1),"")</f>
        <v/>
      </c>
      <c r="E64" s="31">
        <f>IFERROR(INDEX(벤치마크!$E$164:$E$317,MATCH($C$9&amp;"|"&amp;$C$8&amp;"|"&amp;"Q17_2A",벤치마크!$A$164:$A$317,0)),IFERROR(INDEX(벤치마크!$E$164:$E$317,MATCH("2024|"&amp;$C$8&amp;"|"&amp;"Q17_2A",벤치마크!$A$164:$A$317,0)),""))</f>
        <v/>
      </c>
      <c r="F64" s="33">
        <f>IF(OR(D64="",E64=""),"",D64-E64)</f>
        <v/>
      </c>
      <c r="G64" s="30">
        <f>IFERROR(MATCH($C$9&amp;"|"&amp;$C$8&amp;"|"&amp;"Q17_2A",벤치마크!$A$164:$A$317,0)*0+$C$9,IFERROR(MATCH("2024|"&amp;$C$8&amp;"|"&amp;"Q17_2A",벤치마크!$A$164:$A$317,0)*0+2024,""))</f>
        <v/>
      </c>
      <c r="H64" s="30">
        <f>IF(OR(F64=""),"",IF(F64&gt;=0.3,"강점",IF(F64&lt;=-0.3,"약점","보통")))</f>
        <v/>
      </c>
    </row>
    <row r="65">
      <c r="B65" s="30" t="inlineStr">
        <is>
          <t>Q17_3</t>
        </is>
      </c>
      <c r="C65" s="17" t="inlineStr">
        <is>
          <t>노사공동교육·워크숍 — 시행률</t>
        </is>
      </c>
      <c r="D65" s="32">
        <f>IFERROR(AVERAGEIFS(점수_응답자!$E$16:$BB$16,점수_응답자!$E$4:$BB$4,$C$4,점수_응답자!$E$5:$BB$5,1),"")</f>
        <v/>
      </c>
      <c r="E65" s="32">
        <f>IFERROR(INDEX(벤치마크!$E$164:$E$317,MATCH($C$9&amp;"|"&amp;$C$8&amp;"|"&amp;"Q17_3",벤치마크!$A$164:$A$317,0)),IFERROR(INDEX(벤치마크!$E$164:$E$317,MATCH("2024|"&amp;$C$8&amp;"|"&amp;"Q17_3",벤치마크!$A$164:$A$317,0)),""))</f>
        <v/>
      </c>
      <c r="F65" s="37">
        <f>IF(OR(D65="",E65=""),"",D65-E65)</f>
        <v/>
      </c>
      <c r="G65" s="30">
        <f>IFERROR(MATCH($C$9&amp;"|"&amp;$C$8&amp;"|"&amp;"Q17_3",벤치마크!$A$164:$A$317,0)*0+$C$9,IFERROR(MATCH("2024|"&amp;$C$8&amp;"|"&amp;"Q17_3",벤치마크!$A$164:$A$317,0)*0+2024,""))</f>
        <v/>
      </c>
      <c r="H65" s="30">
        <f>IF(F65="","",IF(F65&gt;=0.15,"강점",IF(F65&lt;=-0.15,"약점","보통")))</f>
        <v/>
      </c>
    </row>
    <row r="66">
      <c r="B66" s="30" t="inlineStr">
        <is>
          <t>Q17_3A</t>
        </is>
      </c>
      <c r="C66" s="17" t="inlineStr">
        <is>
          <t>노사공동교육·워크숍 — 활성화 정도(시행한 경우만)</t>
        </is>
      </c>
      <c r="D66" s="31">
        <f>IFERROR(AVERAGEIFS(점수_응답자!$E$17:$BB$17,점수_응답자!$E$4:$BB$4,$C$4,점수_응답자!$E$5:$BB$5,1),"")</f>
        <v/>
      </c>
      <c r="E66" s="31">
        <f>IFERROR(INDEX(벤치마크!$E$164:$E$317,MATCH($C$9&amp;"|"&amp;$C$8&amp;"|"&amp;"Q17_3A",벤치마크!$A$164:$A$317,0)),IFERROR(INDEX(벤치마크!$E$164:$E$317,MATCH("2024|"&amp;$C$8&amp;"|"&amp;"Q17_3A",벤치마크!$A$164:$A$317,0)),""))</f>
        <v/>
      </c>
      <c r="F66" s="33">
        <f>IF(OR(D66="",E66=""),"",D66-E66)</f>
        <v/>
      </c>
      <c r="G66" s="30">
        <f>IFERROR(MATCH($C$9&amp;"|"&amp;$C$8&amp;"|"&amp;"Q17_3A",벤치마크!$A$164:$A$317,0)*0+$C$9,IFERROR(MATCH("2024|"&amp;$C$8&amp;"|"&amp;"Q17_3A",벤치마크!$A$164:$A$317,0)*0+2024,""))</f>
        <v/>
      </c>
      <c r="H66" s="30">
        <f>IF(OR(F66=""),"",IF(F66&gt;=0.3,"강점",IF(F66&lt;=-0.3,"약점","보통")))</f>
        <v/>
      </c>
    </row>
    <row r="67">
      <c r="B67" s="30" t="inlineStr">
        <is>
          <t>Q17_4</t>
        </is>
      </c>
      <c r="C67" s="17" t="inlineStr">
        <is>
          <t>직원단합대회(체육대회, 등반대회, 야유회 등) — 시행률</t>
        </is>
      </c>
      <c r="D67" s="32">
        <f>IFERROR(AVERAGEIFS(점수_응답자!$E$18:$BB$18,점수_응답자!$E$4:$BB$4,$C$4,점수_응답자!$E$5:$BB$5,1),"")</f>
        <v/>
      </c>
      <c r="E67" s="32">
        <f>IFERROR(INDEX(벤치마크!$E$164:$E$317,MATCH($C$9&amp;"|"&amp;$C$8&amp;"|"&amp;"Q17_4",벤치마크!$A$164:$A$317,0)),IFERROR(INDEX(벤치마크!$E$164:$E$317,MATCH("2024|"&amp;$C$8&amp;"|"&amp;"Q17_4",벤치마크!$A$164:$A$317,0)),""))</f>
        <v/>
      </c>
      <c r="F67" s="37">
        <f>IF(OR(D67="",E67=""),"",D67-E67)</f>
        <v/>
      </c>
      <c r="G67" s="30">
        <f>IFERROR(MATCH($C$9&amp;"|"&amp;$C$8&amp;"|"&amp;"Q17_4",벤치마크!$A$164:$A$317,0)*0+$C$9,IFERROR(MATCH("2024|"&amp;$C$8&amp;"|"&amp;"Q17_4",벤치마크!$A$164:$A$317,0)*0+2024,""))</f>
        <v/>
      </c>
      <c r="H67" s="30">
        <f>IF(F67="","",IF(F67&gt;=0.15,"강점",IF(F67&lt;=-0.15,"약점","보통")))</f>
        <v/>
      </c>
    </row>
    <row r="68">
      <c r="B68" s="30" t="inlineStr">
        <is>
          <t>Q17_4A</t>
        </is>
      </c>
      <c r="C68" s="17" t="inlineStr">
        <is>
          <t>직원단합대회(체육대회, 등반대회, 야유회 등) — 활성화 정도(시행한 경우만)</t>
        </is>
      </c>
      <c r="D68" s="31">
        <f>IFERROR(AVERAGEIFS(점수_응답자!$E$19:$BB$19,점수_응답자!$E$4:$BB$4,$C$4,점수_응답자!$E$5:$BB$5,1),"")</f>
        <v/>
      </c>
      <c r="E68" s="31">
        <f>IFERROR(INDEX(벤치마크!$E$164:$E$317,MATCH($C$9&amp;"|"&amp;$C$8&amp;"|"&amp;"Q17_4A",벤치마크!$A$164:$A$317,0)),IFERROR(INDEX(벤치마크!$E$164:$E$317,MATCH("2024|"&amp;$C$8&amp;"|"&amp;"Q17_4A",벤치마크!$A$164:$A$317,0)),""))</f>
        <v/>
      </c>
      <c r="F68" s="33">
        <f>IF(OR(D68="",E68=""),"",D68-E68)</f>
        <v/>
      </c>
      <c r="G68" s="30">
        <f>IFERROR(MATCH($C$9&amp;"|"&amp;$C$8&amp;"|"&amp;"Q17_4A",벤치마크!$A$164:$A$317,0)*0+$C$9,IFERROR(MATCH("2024|"&amp;$C$8&amp;"|"&amp;"Q17_4A",벤치마크!$A$164:$A$317,0)*0+2024,""))</f>
        <v/>
      </c>
      <c r="H68" s="30">
        <f>IF(OR(F68=""),"",IF(F68&gt;=0.3,"강점",IF(F68&lt;=-0.3,"약점","보통")))</f>
        <v/>
      </c>
    </row>
    <row r="69">
      <c r="B69" s="30" t="inlineStr">
        <is>
          <t>Q17_5</t>
        </is>
      </c>
      <c r="C69" s="17" t="inlineStr">
        <is>
          <t>노사공동 사회봉사(일사일촌 등) — 시행률</t>
        </is>
      </c>
      <c r="D69" s="32">
        <f>IFERROR(AVERAGEIFS(점수_응답자!$E$20:$BB$20,점수_응답자!$E$4:$BB$4,$C$4,점수_응답자!$E$5:$BB$5,1),"")</f>
        <v/>
      </c>
      <c r="E69" s="32">
        <f>IFERROR(INDEX(벤치마크!$E$164:$E$317,MATCH($C$9&amp;"|"&amp;$C$8&amp;"|"&amp;"Q17_5",벤치마크!$A$164:$A$317,0)),IFERROR(INDEX(벤치마크!$E$164:$E$317,MATCH("2024|"&amp;$C$8&amp;"|"&amp;"Q17_5",벤치마크!$A$164:$A$317,0)),""))</f>
        <v/>
      </c>
      <c r="F69" s="37">
        <f>IF(OR(D69="",E69=""),"",D69-E69)</f>
        <v/>
      </c>
      <c r="G69" s="30">
        <f>IFERROR(MATCH($C$9&amp;"|"&amp;$C$8&amp;"|"&amp;"Q17_5",벤치마크!$A$164:$A$317,0)*0+$C$9,IFERROR(MATCH("2024|"&amp;$C$8&amp;"|"&amp;"Q17_5",벤치마크!$A$164:$A$317,0)*0+2024,""))</f>
        <v/>
      </c>
      <c r="H69" s="30">
        <f>IF(F69="","",IF(F69&gt;=0.15,"강점",IF(F69&lt;=-0.15,"약점","보통")))</f>
        <v/>
      </c>
    </row>
    <row r="70">
      <c r="B70" s="30" t="inlineStr">
        <is>
          <t>Q17_5A</t>
        </is>
      </c>
      <c r="C70" s="17" t="inlineStr">
        <is>
          <t>노사공동 사회봉사(일사일촌 등) — 활성화 정도(시행한 경우만)</t>
        </is>
      </c>
      <c r="D70" s="31">
        <f>IFERROR(AVERAGEIFS(점수_응답자!$E$21:$BB$21,점수_응답자!$E$4:$BB$4,$C$4,점수_응답자!$E$5:$BB$5,1),"")</f>
        <v/>
      </c>
      <c r="E70" s="31">
        <f>IFERROR(INDEX(벤치마크!$E$164:$E$317,MATCH($C$9&amp;"|"&amp;$C$8&amp;"|"&amp;"Q17_5A",벤치마크!$A$164:$A$317,0)),IFERROR(INDEX(벤치마크!$E$164:$E$317,MATCH("2024|"&amp;$C$8&amp;"|"&amp;"Q17_5A",벤치마크!$A$164:$A$317,0)),""))</f>
        <v/>
      </c>
      <c r="F70" s="33">
        <f>IF(OR(D70="",E70=""),"",D70-E70)</f>
        <v/>
      </c>
      <c r="G70" s="30">
        <f>IFERROR(MATCH($C$9&amp;"|"&amp;$C$8&amp;"|"&amp;"Q17_5A",벤치마크!$A$164:$A$317,0)*0+$C$9,IFERROR(MATCH("2024|"&amp;$C$8&amp;"|"&amp;"Q17_5A",벤치마크!$A$164:$A$317,0)*0+2024,""))</f>
        <v/>
      </c>
      <c r="H70" s="30">
        <f>IF(OR(F70=""),"",IF(F70&gt;=0.3,"강점",IF(F70&lt;=-0.3,"약점","보통")))</f>
        <v/>
      </c>
    </row>
    <row r="71">
      <c r="B71" s="30" t="inlineStr">
        <is>
          <t>Q18_1</t>
        </is>
      </c>
      <c r="C71" s="17" t="inlineStr">
        <is>
          <t>파업(부분파업 포함) 발생 — 발생률</t>
        </is>
      </c>
      <c r="D71" s="32">
        <f>IFERROR(AVERAGEIFS(점수_응답자!$E$22:$BB$22,점수_응답자!$E$4:$BB$4,$C$4,점수_응답자!$E$5:$BB$5,1),"")</f>
        <v/>
      </c>
      <c r="E71" s="32">
        <f>IFERROR(INDEX(벤치마크!$E$164:$E$317,MATCH($C$9&amp;"|"&amp;$C$8&amp;"|"&amp;"Q18_1",벤치마크!$A$164:$A$317,0)),IFERROR(INDEX(벤치마크!$E$164:$E$317,MATCH("2024|"&amp;$C$8&amp;"|"&amp;"Q18_1",벤치마크!$A$164:$A$317,0)),""))</f>
        <v/>
      </c>
      <c r="F71" s="37">
        <f>IF(OR(D71="",E71=""),"",D71-E71)</f>
        <v/>
      </c>
      <c r="G71" s="30">
        <f>IFERROR(MATCH($C$9&amp;"|"&amp;$C$8&amp;"|"&amp;"Q18_1",벤치마크!$A$164:$A$317,0)*0+$C$9,IFERROR(MATCH("2024|"&amp;$C$8&amp;"|"&amp;"Q18_1",벤치마크!$A$164:$A$317,0)*0+2024,""))</f>
        <v/>
      </c>
      <c r="H71" s="30">
        <f>IF(D71="","",IF(D71&gt;0,"발생(주의)","미발생"))</f>
        <v/>
      </c>
    </row>
    <row r="72">
      <c r="B72" s="30" t="inlineStr">
        <is>
          <t>Q18_2</t>
        </is>
      </c>
      <c r="C72" s="17" t="inlineStr">
        <is>
          <t>노사문제로 인한 경제적 손실 발생 — 발생률</t>
        </is>
      </c>
      <c r="D72" s="32">
        <f>IFERROR(AVERAGEIFS(점수_응답자!$E$23:$BB$23,점수_응답자!$E$4:$BB$4,$C$4,점수_응답자!$E$5:$BB$5,1),"")</f>
        <v/>
      </c>
      <c r="E72" s="32">
        <f>IFERROR(INDEX(벤치마크!$E$164:$E$317,MATCH($C$9&amp;"|"&amp;$C$8&amp;"|"&amp;"Q18_2",벤치마크!$A$164:$A$317,0)),IFERROR(INDEX(벤치마크!$E$164:$E$317,MATCH("2024|"&amp;$C$8&amp;"|"&amp;"Q18_2",벤치마크!$A$164:$A$317,0)),""))</f>
        <v/>
      </c>
      <c r="F72" s="37">
        <f>IF(OR(D72="",E72=""),"",D72-E72)</f>
        <v/>
      </c>
      <c r="G72" s="30">
        <f>IFERROR(MATCH($C$9&amp;"|"&amp;$C$8&amp;"|"&amp;"Q18_2",벤치마크!$A$164:$A$317,0)*0+$C$9,IFERROR(MATCH("2024|"&amp;$C$8&amp;"|"&amp;"Q18_2",벤치마크!$A$164:$A$317,0)*0+2024,""))</f>
        <v/>
      </c>
      <c r="H72" s="30">
        <f>IF(D72="","",IF(D72&gt;0,"발생(주의)","미발생"))</f>
        <v/>
      </c>
    </row>
    <row r="73">
      <c r="B73" s="30" t="inlineStr">
        <is>
          <t>Q18_3</t>
        </is>
      </c>
      <c r="C73" s="17" t="inlineStr">
        <is>
          <t>노사문제로 인한 고소·고발 발생 — 발생률</t>
        </is>
      </c>
      <c r="D73" s="32">
        <f>IFERROR(AVERAGEIFS(점수_응답자!$E$24:$BB$24,점수_응답자!$E$4:$BB$4,$C$4,점수_응답자!$E$5:$BB$5,1),"")</f>
        <v/>
      </c>
      <c r="E73" s="32">
        <f>IFERROR(INDEX(벤치마크!$E$164:$E$317,MATCH($C$9&amp;"|"&amp;$C$8&amp;"|"&amp;"Q18_3",벤치마크!$A$164:$A$317,0)),IFERROR(INDEX(벤치마크!$E$164:$E$317,MATCH("2024|"&amp;$C$8&amp;"|"&amp;"Q18_3",벤치마크!$A$164:$A$317,0)),""))</f>
        <v/>
      </c>
      <c r="F73" s="37">
        <f>IF(OR(D73="",E73=""),"",D73-E73)</f>
        <v/>
      </c>
      <c r="G73" s="30">
        <f>IFERROR(MATCH($C$9&amp;"|"&amp;$C$8&amp;"|"&amp;"Q18_3",벤치마크!$A$164:$A$317,0)*0+$C$9,IFERROR(MATCH("2024|"&amp;$C$8&amp;"|"&amp;"Q18_3",벤치마크!$A$164:$A$317,0)*0+2024,""))</f>
        <v/>
      </c>
      <c r="H73" s="30">
        <f>IF(D73="","",IF(D73&gt;0,"발생(주의)","미발생"))</f>
        <v/>
      </c>
    </row>
    <row r="74">
      <c r="B74" s="30" t="inlineStr">
        <is>
          <t>Q18_4</t>
        </is>
      </c>
      <c r="C74" s="17" t="inlineStr">
        <is>
          <t>노사문제로 인한 해고자 발생 — 발생률</t>
        </is>
      </c>
      <c r="D74" s="32">
        <f>IFERROR(AVERAGEIFS(점수_응답자!$E$25:$BB$25,점수_응답자!$E$4:$BB$4,$C$4,점수_응답자!$E$5:$BB$5,1),"")</f>
        <v/>
      </c>
      <c r="E74" s="32">
        <f>IFERROR(INDEX(벤치마크!$E$164:$E$317,MATCH($C$9&amp;"|"&amp;$C$8&amp;"|"&amp;"Q18_4",벤치마크!$A$164:$A$317,0)),IFERROR(INDEX(벤치마크!$E$164:$E$317,MATCH("2024|"&amp;$C$8&amp;"|"&amp;"Q18_4",벤치마크!$A$164:$A$317,0)),""))</f>
        <v/>
      </c>
      <c r="F74" s="37">
        <f>IF(OR(D74="",E74=""),"",D74-E74)</f>
        <v/>
      </c>
      <c r="G74" s="30">
        <f>IFERROR(MATCH($C$9&amp;"|"&amp;$C$8&amp;"|"&amp;"Q18_4",벤치마크!$A$164:$A$317,0)*0+$C$9,IFERROR(MATCH("2024|"&amp;$C$8&amp;"|"&amp;"Q18_4",벤치마크!$A$164:$A$317,0)*0+2024,""))</f>
        <v/>
      </c>
      <c r="H74" s="30">
        <f>IF(D74="","",IF(D74&gt;0,"발생(주의)","미발생"))</f>
        <v/>
      </c>
    </row>
    <row r="75">
      <c r="B75" s="30" t="inlineStr">
        <is>
          <t>Q19_1</t>
        </is>
      </c>
      <c r="C75" s="17" t="inlineStr">
        <is>
          <t>근로자의 고충을 전달할 공식적인 통로를 충분히 제공하고 있다</t>
        </is>
      </c>
      <c r="D75" s="31">
        <f>IFERROR(AVERAGEIFS(점수_응답자!$E$26:$BB$26,점수_응답자!$E$4:$BB$4,$C$4,점수_응답자!$E$5:$BB$5,1),"")</f>
        <v/>
      </c>
      <c r="E75" s="31">
        <f>IFERROR(INDEX(벤치마크!$E$164:$E$317,MATCH($C$9&amp;"|"&amp;$C$8&amp;"|"&amp;"Q19_1",벤치마크!$A$164:$A$317,0)),IFERROR(INDEX(벤치마크!$E$164:$E$317,MATCH("2024|"&amp;$C$8&amp;"|"&amp;"Q19_1",벤치마크!$A$164:$A$317,0)),""))</f>
        <v/>
      </c>
      <c r="F75" s="33">
        <f>IF(OR(D75="",E75=""),"",D75-E75)</f>
        <v/>
      </c>
      <c r="G75" s="30">
        <f>IFERROR(MATCH($C$9&amp;"|"&amp;$C$8&amp;"|"&amp;"Q19_1",벤치마크!$A$164:$A$317,0)*0+$C$9,IFERROR(MATCH("2024|"&amp;$C$8&amp;"|"&amp;"Q19_1",벤치마크!$A$164:$A$317,0)*0+2024,""))</f>
        <v/>
      </c>
      <c r="H75" s="30">
        <f>IF(OR(F75=""),"",IF(F75&gt;=0.3,"강점",IF(F75&lt;=-0.3,"약점","보통")))</f>
        <v/>
      </c>
    </row>
    <row r="76">
      <c r="B76" s="30" t="inlineStr">
        <is>
          <t>Q19_2</t>
        </is>
      </c>
      <c r="C76" s="17" t="inlineStr">
        <is>
          <t>고충 제기 후 처리과정에서 노사 간 의사소통이 수시로 이루어진다</t>
        </is>
      </c>
      <c r="D76" s="31">
        <f>IFERROR(AVERAGEIFS(점수_응답자!$E$27:$BB$27,점수_응답자!$E$4:$BB$4,$C$4,점수_응답자!$E$5:$BB$5,1),"")</f>
        <v/>
      </c>
      <c r="E76" s="31">
        <f>IFERROR(INDEX(벤치마크!$E$164:$E$317,MATCH($C$9&amp;"|"&amp;$C$8&amp;"|"&amp;"Q19_2",벤치마크!$A$164:$A$317,0)),IFERROR(INDEX(벤치마크!$E$164:$E$317,MATCH("2024|"&amp;$C$8&amp;"|"&amp;"Q19_2",벤치마크!$A$164:$A$317,0)),""))</f>
        <v/>
      </c>
      <c r="F76" s="33">
        <f>IF(OR(D76="",E76=""),"",D76-E76)</f>
        <v/>
      </c>
      <c r="G76" s="30">
        <f>IFERROR(MATCH($C$9&amp;"|"&amp;$C$8&amp;"|"&amp;"Q19_2",벤치마크!$A$164:$A$317,0)*0+$C$9,IFERROR(MATCH("2024|"&amp;$C$8&amp;"|"&amp;"Q19_2",벤치마크!$A$164:$A$317,0)*0+2024,""))</f>
        <v/>
      </c>
      <c r="H76" s="30">
        <f>IF(OR(F76=""),"",IF(F76&gt;=0.3,"강점",IF(F76&lt;=-0.3,"약점","보통")))</f>
        <v/>
      </c>
    </row>
    <row r="77">
      <c r="B77" s="30" t="inlineStr">
        <is>
          <t>Q19_3</t>
        </is>
      </c>
      <c r="C77" s="17" t="inlineStr">
        <is>
          <t>근로자의 고충을 효과적으로 처리한다</t>
        </is>
      </c>
      <c r="D77" s="31">
        <f>IFERROR(AVERAGEIFS(점수_응답자!$E$28:$BB$28,점수_응답자!$E$4:$BB$4,$C$4,점수_응답자!$E$5:$BB$5,1),"")</f>
        <v/>
      </c>
      <c r="E77" s="31">
        <f>IFERROR(INDEX(벤치마크!$E$164:$E$317,MATCH($C$9&amp;"|"&amp;$C$8&amp;"|"&amp;"Q19_3",벤치마크!$A$164:$A$317,0)),IFERROR(INDEX(벤치마크!$E$164:$E$317,MATCH("2024|"&amp;$C$8&amp;"|"&amp;"Q19_3",벤치마크!$A$164:$A$317,0)),""))</f>
        <v/>
      </c>
      <c r="F77" s="33">
        <f>IF(OR(D77="",E77=""),"",D77-E77)</f>
        <v/>
      </c>
      <c r="G77" s="30">
        <f>IFERROR(MATCH($C$9&amp;"|"&amp;$C$8&amp;"|"&amp;"Q19_3",벤치마크!$A$164:$A$317,0)*0+$C$9,IFERROR(MATCH("2024|"&amp;$C$8&amp;"|"&amp;"Q19_3",벤치마크!$A$164:$A$317,0)*0+2024,""))</f>
        <v/>
      </c>
      <c r="H77" s="30">
        <f>IF(OR(F77=""),"",IF(F77&gt;=0.3,"강점",IF(F77&lt;=-0.3,"약점","보통")))</f>
        <v/>
      </c>
    </row>
    <row r="78">
      <c r="B78" s="30" t="inlineStr">
        <is>
          <t>Q19_4</t>
        </is>
      </c>
      <c r="C78" s="17" t="inlineStr">
        <is>
          <t>고충처리에 대해 근로자들은 만족하고 있다</t>
        </is>
      </c>
      <c r="D78" s="31">
        <f>IFERROR(AVERAGEIFS(점수_응답자!$E$29:$BB$29,점수_응답자!$E$4:$BB$4,$C$4,점수_응답자!$E$5:$BB$5,1),"")</f>
        <v/>
      </c>
      <c r="E78" s="31">
        <f>IFERROR(INDEX(벤치마크!$E$164:$E$317,MATCH($C$9&amp;"|"&amp;$C$8&amp;"|"&amp;"Q19_4",벤치마크!$A$164:$A$317,0)),IFERROR(INDEX(벤치마크!$E$164:$E$317,MATCH("2024|"&amp;$C$8&amp;"|"&amp;"Q19_4",벤치마크!$A$164:$A$317,0)),""))</f>
        <v/>
      </c>
      <c r="F78" s="33">
        <f>IF(OR(D78="",E78=""),"",D78-E78)</f>
        <v/>
      </c>
      <c r="G78" s="30">
        <f>IFERROR(MATCH($C$9&amp;"|"&amp;$C$8&amp;"|"&amp;"Q19_4",벤치마크!$A$164:$A$317,0)*0+$C$9,IFERROR(MATCH("2024|"&amp;$C$8&amp;"|"&amp;"Q19_4",벤치마크!$A$164:$A$317,0)*0+2024,""))</f>
        <v/>
      </c>
      <c r="H78" s="30">
        <f>IF(OR(F78=""),"",IF(F78&gt;=0.3,"강점",IF(F78&lt;=-0.3,"약점","보통")))</f>
        <v/>
      </c>
    </row>
    <row r="79">
      <c r="B79" s="30" t="inlineStr">
        <is>
          <t>Q21_1</t>
        </is>
      </c>
      <c r="C79" s="17" t="inlineStr">
        <is>
          <t>노사 간에는 공식·비공식의 의사소통 통로가 다양하게 존재한다</t>
        </is>
      </c>
      <c r="D79" s="31">
        <f>IFERROR(AVERAGEIFS(점수_응답자!$E$31:$BB$31,점수_응답자!$E$4:$BB$4,$C$4,점수_응답자!$E$5:$BB$5,1),"")</f>
        <v/>
      </c>
      <c r="E79" s="31">
        <f>IFERROR(INDEX(벤치마크!$E$164:$E$317,MATCH($C$9&amp;"|"&amp;$C$8&amp;"|"&amp;"Q21_1",벤치마크!$A$164:$A$317,0)),IFERROR(INDEX(벤치마크!$E$164:$E$317,MATCH("2024|"&amp;$C$8&amp;"|"&amp;"Q21_1",벤치마크!$A$164:$A$317,0)),""))</f>
        <v/>
      </c>
      <c r="F79" s="33">
        <f>IF(OR(D79="",E79=""),"",D79-E79)</f>
        <v/>
      </c>
      <c r="G79" s="30">
        <f>IFERROR(MATCH($C$9&amp;"|"&amp;$C$8&amp;"|"&amp;"Q21_1",벤치마크!$A$164:$A$317,0)*0+$C$9,IFERROR(MATCH("2024|"&amp;$C$8&amp;"|"&amp;"Q21_1",벤치마크!$A$164:$A$317,0)*0+2024,""))</f>
        <v/>
      </c>
      <c r="H79" s="30">
        <f>IF(OR(F79=""),"",IF(F79&gt;=0.3,"강점",IF(F79&lt;=-0.3,"약점","보통")))</f>
        <v/>
      </c>
    </row>
    <row r="80">
      <c r="B80" s="30" t="inlineStr">
        <is>
          <t>Q21_2</t>
        </is>
      </c>
      <c r="C80" s="17" t="inlineStr">
        <is>
          <t>경영진과 근로자와의 정기적인 간담회가 잘 이루어진다</t>
        </is>
      </c>
      <c r="D80" s="31">
        <f>IFERROR(AVERAGEIFS(점수_응답자!$E$32:$BB$32,점수_응답자!$E$4:$BB$4,$C$4,점수_응답자!$E$5:$BB$5,1),"")</f>
        <v/>
      </c>
      <c r="E80" s="31">
        <f>IFERROR(INDEX(벤치마크!$E$164:$E$317,MATCH($C$9&amp;"|"&amp;$C$8&amp;"|"&amp;"Q21_2",벤치마크!$A$164:$A$317,0)),IFERROR(INDEX(벤치마크!$E$164:$E$317,MATCH("2024|"&amp;$C$8&amp;"|"&amp;"Q21_2",벤치마크!$A$164:$A$317,0)),""))</f>
        <v/>
      </c>
      <c r="F80" s="33">
        <f>IF(OR(D80="",E80=""),"",D80-E80)</f>
        <v/>
      </c>
      <c r="G80" s="30">
        <f>IFERROR(MATCH($C$9&amp;"|"&amp;$C$8&amp;"|"&amp;"Q21_2",벤치마크!$A$164:$A$317,0)*0+$C$9,IFERROR(MATCH("2024|"&amp;$C$8&amp;"|"&amp;"Q21_2",벤치마크!$A$164:$A$317,0)*0+2024,""))</f>
        <v/>
      </c>
      <c r="H80" s="30">
        <f>IF(OR(F80=""),"",IF(F80&gt;=0.3,"강점",IF(F80&lt;=-0.3,"약점","보통")))</f>
        <v/>
      </c>
    </row>
    <row r="81">
      <c r="B81" s="30" t="inlineStr">
        <is>
          <t>Q21_3</t>
        </is>
      </c>
      <c r="C81" s="17" t="inlineStr">
        <is>
          <t>필요시 노사대표 간 핫라인이 잘 작동된다</t>
        </is>
      </c>
      <c r="D81" s="31">
        <f>IFERROR(AVERAGEIFS(점수_응답자!$E$33:$BB$33,점수_응답자!$E$4:$BB$4,$C$4,점수_응답자!$E$5:$BB$5,1),"")</f>
        <v/>
      </c>
      <c r="E81" s="31">
        <f>IFERROR(INDEX(벤치마크!$E$164:$E$317,MATCH($C$9&amp;"|"&amp;$C$8&amp;"|"&amp;"Q21_3",벤치마크!$A$164:$A$317,0)),IFERROR(INDEX(벤치마크!$E$164:$E$317,MATCH("2024|"&amp;$C$8&amp;"|"&amp;"Q21_3",벤치마크!$A$164:$A$317,0)),""))</f>
        <v/>
      </c>
      <c r="F81" s="33">
        <f>IF(OR(D81="",E81=""),"",D81-E81)</f>
        <v/>
      </c>
      <c r="G81" s="30">
        <f>IFERROR(MATCH($C$9&amp;"|"&amp;$C$8&amp;"|"&amp;"Q21_3",벤치마크!$A$164:$A$317,0)*0+$C$9,IFERROR(MATCH("2024|"&amp;$C$8&amp;"|"&amp;"Q21_3",벤치마크!$A$164:$A$317,0)*0+2024,""))</f>
        <v/>
      </c>
      <c r="H81" s="30">
        <f>IF(OR(F81=""),"",IF(F81&gt;=0.3,"강점",IF(F81&lt;=-0.3,"약점","보통")))</f>
        <v/>
      </c>
    </row>
    <row r="82">
      <c r="B82" s="30" t="inlineStr">
        <is>
          <t>Q21_4</t>
        </is>
      </c>
      <c r="C82" s="17" t="inlineStr">
        <is>
          <t>근로자들의 일상적인 문제들이 노사 간 의사소통을 통해서 잘 해결되고 있다</t>
        </is>
      </c>
      <c r="D82" s="31">
        <f>IFERROR(AVERAGEIFS(점수_응답자!$E$34:$BB$34,점수_응답자!$E$4:$BB$4,$C$4,점수_응답자!$E$5:$BB$5,1),"")</f>
        <v/>
      </c>
      <c r="E82" s="31">
        <f>IFERROR(INDEX(벤치마크!$E$164:$E$317,MATCH($C$9&amp;"|"&amp;$C$8&amp;"|"&amp;"Q21_4",벤치마크!$A$164:$A$317,0)),IFERROR(INDEX(벤치마크!$E$164:$E$317,MATCH("2024|"&amp;$C$8&amp;"|"&amp;"Q21_4",벤치마크!$A$164:$A$317,0)),""))</f>
        <v/>
      </c>
      <c r="F82" s="33">
        <f>IF(OR(D82="",E82=""),"",D82-E82)</f>
        <v/>
      </c>
      <c r="G82" s="30">
        <f>IFERROR(MATCH($C$9&amp;"|"&amp;$C$8&amp;"|"&amp;"Q21_4",벤치마크!$A$164:$A$317,0)*0+$C$9,IFERROR(MATCH("2024|"&amp;$C$8&amp;"|"&amp;"Q21_4",벤치마크!$A$164:$A$317,0)*0+2024,""))</f>
        <v/>
      </c>
      <c r="H82" s="30">
        <f>IF(OR(F82=""),"",IF(F82&gt;=0.3,"강점",IF(F82&lt;=-0.3,"약점","보통")))</f>
        <v/>
      </c>
    </row>
    <row r="83">
      <c r="B83" s="30" t="inlineStr">
        <is>
          <t>Q21_5</t>
        </is>
      </c>
      <c r="C83" s="17" t="inlineStr">
        <is>
          <t>개별 직원들이 최고책임자나 경영진에게 자신의 의견을 말할 수 있는 기회가 많다</t>
        </is>
      </c>
      <c r="D83" s="31">
        <f>IFERROR(AVERAGEIFS(점수_응답자!$E$35:$BB$35,점수_응답자!$E$4:$BB$4,$C$4,점수_응답자!$E$5:$BB$5,1),"")</f>
        <v/>
      </c>
      <c r="E83" s="31">
        <f>IFERROR(INDEX(벤치마크!$E$164:$E$317,MATCH($C$9&amp;"|"&amp;$C$8&amp;"|"&amp;"Q21_5",벤치마크!$A$164:$A$317,0)),IFERROR(INDEX(벤치마크!$E$164:$E$317,MATCH("2024|"&amp;$C$8&amp;"|"&amp;"Q21_5",벤치마크!$A$164:$A$317,0)),""))</f>
        <v/>
      </c>
      <c r="F83" s="33">
        <f>IF(OR(D83="",E83=""),"",D83-E83)</f>
        <v/>
      </c>
      <c r="G83" s="30">
        <f>IFERROR(MATCH($C$9&amp;"|"&amp;$C$8&amp;"|"&amp;"Q21_5",벤치마크!$A$164:$A$317,0)*0+$C$9,IFERROR(MATCH("2024|"&amp;$C$8&amp;"|"&amp;"Q21_5",벤치마크!$A$164:$A$317,0)*0+2024,""))</f>
        <v/>
      </c>
      <c r="H83" s="30">
        <f>IF(OR(F83=""),"",IF(F83&gt;=0.3,"강점",IF(F83&lt;=-0.3,"약점","보통")))</f>
        <v/>
      </c>
    </row>
    <row r="84">
      <c r="B84" s="30" t="inlineStr">
        <is>
          <t>Q22_1</t>
        </is>
      </c>
      <c r="C84" s="17" t="inlineStr">
        <is>
          <t>근로자들은 회사의 비전과 목표가 무엇인지 알고 있다</t>
        </is>
      </c>
      <c r="D84" s="31">
        <f>IFERROR(AVERAGEIFS(점수_응답자!$E$36:$BB$36,점수_응답자!$E$4:$BB$4,$C$4,점수_응답자!$E$5:$BB$5,1),"")</f>
        <v/>
      </c>
      <c r="E84" s="31">
        <f>IFERROR(INDEX(벤치마크!$E$164:$E$317,MATCH($C$9&amp;"|"&amp;$C$8&amp;"|"&amp;"Q22_1",벤치마크!$A$164:$A$317,0)),IFERROR(INDEX(벤치마크!$E$164:$E$317,MATCH("2024|"&amp;$C$8&amp;"|"&amp;"Q22_1",벤치마크!$A$164:$A$317,0)),""))</f>
        <v/>
      </c>
      <c r="F84" s="33">
        <f>IF(OR(D84="",E84=""),"",D84-E84)</f>
        <v/>
      </c>
      <c r="G84" s="30">
        <f>IFERROR(MATCH($C$9&amp;"|"&amp;$C$8&amp;"|"&amp;"Q22_1",벤치마크!$A$164:$A$317,0)*0+$C$9,IFERROR(MATCH("2024|"&amp;$C$8&amp;"|"&amp;"Q22_1",벤치마크!$A$164:$A$317,0)*0+2024,""))</f>
        <v/>
      </c>
      <c r="H84" s="30">
        <f>IF(OR(F84=""),"",IF(F84&gt;=0.3,"강점",IF(F84&lt;=-0.3,"약점","보통")))</f>
        <v/>
      </c>
    </row>
    <row r="85">
      <c r="B85" s="30" t="inlineStr">
        <is>
          <t>Q22_2</t>
        </is>
      </c>
      <c r="C85" s="17" t="inlineStr">
        <is>
          <t>근로자들은 회사의 각종 경영현황을 이해하고 있다</t>
        </is>
      </c>
      <c r="D85" s="31">
        <f>IFERROR(AVERAGEIFS(점수_응답자!$E$37:$BB$37,점수_응답자!$E$4:$BB$4,$C$4,점수_응답자!$E$5:$BB$5,1),"")</f>
        <v/>
      </c>
      <c r="E85" s="31">
        <f>IFERROR(INDEX(벤치마크!$E$164:$E$317,MATCH($C$9&amp;"|"&amp;$C$8&amp;"|"&amp;"Q22_2",벤치마크!$A$164:$A$317,0)),IFERROR(INDEX(벤치마크!$E$164:$E$317,MATCH("2024|"&amp;$C$8&amp;"|"&amp;"Q22_2",벤치마크!$A$164:$A$317,0)),""))</f>
        <v/>
      </c>
      <c r="F85" s="33">
        <f>IF(OR(D85="",E85=""),"",D85-E85)</f>
        <v/>
      </c>
      <c r="G85" s="30">
        <f>IFERROR(MATCH($C$9&amp;"|"&amp;$C$8&amp;"|"&amp;"Q22_2",벤치마크!$A$164:$A$317,0)*0+$C$9,IFERROR(MATCH("2024|"&amp;$C$8&amp;"|"&amp;"Q22_2",벤치마크!$A$164:$A$317,0)*0+2024,""))</f>
        <v/>
      </c>
      <c r="H85" s="30">
        <f>IF(OR(F85=""),"",IF(F85&gt;=0.3,"강점",IF(F85&lt;=-0.3,"약점","보통")))</f>
        <v/>
      </c>
    </row>
    <row r="86">
      <c r="B86" s="30" t="inlineStr">
        <is>
          <t>Q22_3</t>
        </is>
      </c>
      <c r="C86" s="17" t="inlineStr">
        <is>
          <t>회사는 각종 경영정보를 근로자와 공유하고 있다</t>
        </is>
      </c>
      <c r="D86" s="31">
        <f>IFERROR(AVERAGEIFS(점수_응답자!$E$38:$BB$38,점수_응답자!$E$4:$BB$4,$C$4,점수_응답자!$E$5:$BB$5,1),"")</f>
        <v/>
      </c>
      <c r="E86" s="31">
        <f>IFERROR(INDEX(벤치마크!$E$164:$E$317,MATCH($C$9&amp;"|"&amp;$C$8&amp;"|"&amp;"Q22_3",벤치마크!$A$164:$A$317,0)),IFERROR(INDEX(벤치마크!$E$164:$E$317,MATCH("2024|"&amp;$C$8&amp;"|"&amp;"Q22_3",벤치마크!$A$164:$A$317,0)),""))</f>
        <v/>
      </c>
      <c r="F86" s="33">
        <f>IF(OR(D86="",E86=""),"",D86-E86)</f>
        <v/>
      </c>
      <c r="G86" s="30">
        <f>IFERROR(MATCH($C$9&amp;"|"&amp;$C$8&amp;"|"&amp;"Q22_3",벤치마크!$A$164:$A$317,0)*0+$C$9,IFERROR(MATCH("2024|"&amp;$C$8&amp;"|"&amp;"Q22_3",벤치마크!$A$164:$A$317,0)*0+2024,""))</f>
        <v/>
      </c>
      <c r="H86" s="30">
        <f>IF(OR(F86=""),"",IF(F86&gt;=0.3,"강점",IF(F86&lt;=-0.3,"약점","보통")))</f>
        <v/>
      </c>
    </row>
    <row r="87">
      <c r="B87" s="30" t="inlineStr">
        <is>
          <t>Q22_4</t>
        </is>
      </c>
      <c r="C87" s="17" t="inlineStr">
        <is>
          <t>근로자는 회사가 제공하는 경영정보를 신뢰한다</t>
        </is>
      </c>
      <c r="D87" s="31">
        <f>IFERROR(AVERAGEIFS(점수_응답자!$E$39:$BB$39,점수_응답자!$E$4:$BB$4,$C$4,점수_응답자!$E$5:$BB$5,1),"")</f>
        <v/>
      </c>
      <c r="E87" s="31">
        <f>IFERROR(INDEX(벤치마크!$E$164:$E$317,MATCH($C$9&amp;"|"&amp;$C$8&amp;"|"&amp;"Q22_4",벤치마크!$A$164:$A$317,0)),IFERROR(INDEX(벤치마크!$E$164:$E$317,MATCH("2024|"&amp;$C$8&amp;"|"&amp;"Q22_4",벤치마크!$A$164:$A$317,0)),""))</f>
        <v/>
      </c>
      <c r="F87" s="33">
        <f>IF(OR(D87="",E87=""),"",D87-E87)</f>
        <v/>
      </c>
      <c r="G87" s="30">
        <f>IFERROR(MATCH($C$9&amp;"|"&amp;$C$8&amp;"|"&amp;"Q22_4",벤치마크!$A$164:$A$317,0)*0+$C$9,IFERROR(MATCH("2024|"&amp;$C$8&amp;"|"&amp;"Q22_4",벤치마크!$A$164:$A$317,0)*0+2024,""))</f>
        <v/>
      </c>
      <c r="H87" s="30">
        <f>IF(OR(F87=""),"",IF(F87&gt;=0.3,"강점",IF(F87&lt;=-0.3,"약점","보통")))</f>
        <v/>
      </c>
    </row>
    <row r="88">
      <c r="B88" s="30" t="inlineStr">
        <is>
          <t>Q23_1</t>
        </is>
      </c>
      <c r="C88" s="17" t="inlineStr">
        <is>
          <t>경영 계획과 실적에 대한 정보공유 창구로 활용된다</t>
        </is>
      </c>
      <c r="D88" s="31">
        <f>IFERROR(AVERAGEIFS(점수_응답자!$E$40:$BB$40,점수_응답자!$E$4:$BB$4,$C$4,점수_응답자!$E$5:$BB$5,1),"")</f>
        <v/>
      </c>
      <c r="E88" s="31">
        <f>IFERROR(INDEX(벤치마크!$E$164:$E$317,MATCH($C$9&amp;"|"&amp;$C$8&amp;"|"&amp;"Q23_1",벤치마크!$A$164:$A$317,0)),IFERROR(INDEX(벤치마크!$E$164:$E$317,MATCH("2024|"&amp;$C$8&amp;"|"&amp;"Q23_1",벤치마크!$A$164:$A$317,0)),""))</f>
        <v/>
      </c>
      <c r="F88" s="33">
        <f>IF(OR(D88="",E88=""),"",D88-E88)</f>
        <v/>
      </c>
      <c r="G88" s="30">
        <f>IFERROR(MATCH($C$9&amp;"|"&amp;$C$8&amp;"|"&amp;"Q23_1",벤치마크!$A$164:$A$317,0)*0+$C$9,IFERROR(MATCH("2024|"&amp;$C$8&amp;"|"&amp;"Q23_1",벤치마크!$A$164:$A$317,0)*0+2024,""))</f>
        <v/>
      </c>
      <c r="H88" s="30">
        <f>IF(OR(F88=""),"",IF(F88&gt;=0.3,"강점",IF(F88&lt;=-0.3,"약점","보통")))</f>
        <v/>
      </c>
    </row>
    <row r="89">
      <c r="B89" s="30" t="inlineStr">
        <is>
          <t>Q23_2</t>
        </is>
      </c>
      <c r="C89" s="17" t="inlineStr">
        <is>
          <t>인사노무제도 개선을 위한 논의 창구로 활용된다</t>
        </is>
      </c>
      <c r="D89" s="31">
        <f>IFERROR(AVERAGEIFS(점수_응답자!$E$41:$BB$41,점수_응답자!$E$4:$BB$4,$C$4,점수_응답자!$E$5:$BB$5,1),"")</f>
        <v/>
      </c>
      <c r="E89" s="31">
        <f>IFERROR(INDEX(벤치마크!$E$164:$E$317,MATCH($C$9&amp;"|"&amp;$C$8&amp;"|"&amp;"Q23_2",벤치마크!$A$164:$A$317,0)),IFERROR(INDEX(벤치마크!$E$164:$E$317,MATCH("2024|"&amp;$C$8&amp;"|"&amp;"Q23_2",벤치마크!$A$164:$A$317,0)),""))</f>
        <v/>
      </c>
      <c r="F89" s="33">
        <f>IF(OR(D89="",E89=""),"",D89-E89)</f>
        <v/>
      </c>
      <c r="G89" s="30">
        <f>IFERROR(MATCH($C$9&amp;"|"&amp;$C$8&amp;"|"&amp;"Q23_2",벤치마크!$A$164:$A$317,0)*0+$C$9,IFERROR(MATCH("2024|"&amp;$C$8&amp;"|"&amp;"Q23_2",벤치마크!$A$164:$A$317,0)*0+2024,""))</f>
        <v/>
      </c>
      <c r="H89" s="30">
        <f>IF(OR(F89=""),"",IF(F89&gt;=0.3,"강점",IF(F89&lt;=-0.3,"약점","보통")))</f>
        <v/>
      </c>
    </row>
    <row r="90">
      <c r="B90" s="30" t="inlineStr">
        <is>
          <t>Q23_3</t>
        </is>
      </c>
      <c r="C90" s="17" t="inlineStr">
        <is>
          <t>안전보건 및 작업환경 개선을 위한 논의 창구로 활용된다</t>
        </is>
      </c>
      <c r="D90" s="31">
        <f>IFERROR(AVERAGEIFS(점수_응답자!$E$42:$BB$42,점수_응답자!$E$4:$BB$4,$C$4,점수_응답자!$E$5:$BB$5,1),"")</f>
        <v/>
      </c>
      <c r="E90" s="31">
        <f>IFERROR(INDEX(벤치마크!$E$164:$E$317,MATCH($C$9&amp;"|"&amp;$C$8&amp;"|"&amp;"Q23_3",벤치마크!$A$164:$A$317,0)),IFERROR(INDEX(벤치마크!$E$164:$E$317,MATCH("2024|"&amp;$C$8&amp;"|"&amp;"Q23_3",벤치마크!$A$164:$A$317,0)),""))</f>
        <v/>
      </c>
      <c r="F90" s="33">
        <f>IF(OR(D90="",E90=""),"",D90-E90)</f>
        <v/>
      </c>
      <c r="G90" s="30">
        <f>IFERROR(MATCH($C$9&amp;"|"&amp;$C$8&amp;"|"&amp;"Q23_3",벤치마크!$A$164:$A$317,0)*0+$C$9,IFERROR(MATCH("2024|"&amp;$C$8&amp;"|"&amp;"Q23_3",벤치마크!$A$164:$A$317,0)*0+2024,""))</f>
        <v/>
      </c>
      <c r="H90" s="30">
        <f>IF(OR(F90=""),"",IF(F90&gt;=0.3,"강점",IF(F90&lt;=-0.3,"약점","보통")))</f>
        <v/>
      </c>
    </row>
    <row r="91">
      <c r="B91" s="30" t="inlineStr">
        <is>
          <t>Q23_4</t>
        </is>
      </c>
      <c r="C91" s="17" t="inlineStr">
        <is>
          <t>근로자 복지개선을 위한 협의 창구로 활용된다</t>
        </is>
      </c>
      <c r="D91" s="31">
        <f>IFERROR(AVERAGEIFS(점수_응답자!$E$43:$BB$43,점수_응답자!$E$4:$BB$4,$C$4,점수_응답자!$E$5:$BB$5,1),"")</f>
        <v/>
      </c>
      <c r="E91" s="31">
        <f>IFERROR(INDEX(벤치마크!$E$164:$E$317,MATCH($C$9&amp;"|"&amp;$C$8&amp;"|"&amp;"Q23_4",벤치마크!$A$164:$A$317,0)),IFERROR(INDEX(벤치마크!$E$164:$E$317,MATCH("2024|"&amp;$C$8&amp;"|"&amp;"Q23_4",벤치마크!$A$164:$A$317,0)),""))</f>
        <v/>
      </c>
      <c r="F91" s="33">
        <f>IF(OR(D91="",E91=""),"",D91-E91)</f>
        <v/>
      </c>
      <c r="G91" s="30">
        <f>IFERROR(MATCH($C$9&amp;"|"&amp;$C$8&amp;"|"&amp;"Q23_4",벤치마크!$A$164:$A$317,0)*0+$C$9,IFERROR(MATCH("2024|"&amp;$C$8&amp;"|"&amp;"Q23_4",벤치마크!$A$164:$A$317,0)*0+2024,""))</f>
        <v/>
      </c>
      <c r="H91" s="30">
        <f>IF(OR(F91=""),"",IF(F91&gt;=0.3,"강점",IF(F91&lt;=-0.3,"약점","보통")))</f>
        <v/>
      </c>
    </row>
    <row r="92">
      <c r="B92" s="30" t="inlineStr">
        <is>
          <t>Q23_5</t>
        </is>
      </c>
      <c r="C92" s="17" t="inlineStr">
        <is>
          <t>작업장 내 생산성 향상을 위한 논의 창구로 활용된다</t>
        </is>
      </c>
      <c r="D92" s="31">
        <f>IFERROR(AVERAGEIFS(점수_응답자!$E$44:$BB$44,점수_응답자!$E$4:$BB$4,$C$4,점수_응답자!$E$5:$BB$5,1),"")</f>
        <v/>
      </c>
      <c r="E92" s="31">
        <f>IFERROR(INDEX(벤치마크!$E$164:$E$317,MATCH($C$9&amp;"|"&amp;$C$8&amp;"|"&amp;"Q23_5",벤치마크!$A$164:$A$317,0)),IFERROR(INDEX(벤치마크!$E$164:$E$317,MATCH("2024|"&amp;$C$8&amp;"|"&amp;"Q23_5",벤치마크!$A$164:$A$317,0)),""))</f>
        <v/>
      </c>
      <c r="F92" s="33">
        <f>IF(OR(D92="",E92=""),"",D92-E92)</f>
        <v/>
      </c>
      <c r="G92" s="30">
        <f>IFERROR(MATCH($C$9&amp;"|"&amp;$C$8&amp;"|"&amp;"Q23_5",벤치마크!$A$164:$A$317,0)*0+$C$9,IFERROR(MATCH("2024|"&amp;$C$8&amp;"|"&amp;"Q23_5",벤치마크!$A$164:$A$317,0)*0+2024,""))</f>
        <v/>
      </c>
      <c r="H92" s="30">
        <f>IF(OR(F92=""),"",IF(F92&gt;=0.3,"강점",IF(F92&lt;=-0.3,"약점","보통")))</f>
        <v/>
      </c>
    </row>
    <row r="93">
      <c r="B93" s="30" t="inlineStr">
        <is>
          <t>Q24_1</t>
        </is>
      </c>
      <c r="C93" s="17" t="inlineStr">
        <is>
          <t>일터혁신과 관련된 인적자원개발(교육훈련 등) 활동을 지지한다</t>
        </is>
      </c>
      <c r="D93" s="31">
        <f>IFERROR(AVERAGEIFS(점수_응답자!$E$45:$BB$45,점수_응답자!$E$4:$BB$4,$C$4,점수_응답자!$E$5:$BB$5,1),"")</f>
        <v/>
      </c>
      <c r="E93" s="31">
        <f>IFERROR(INDEX(벤치마크!$E$164:$E$317,MATCH($C$9&amp;"|"&amp;$C$8&amp;"|"&amp;"Q24_1",벤치마크!$A$164:$A$317,0)),IFERROR(INDEX(벤치마크!$E$164:$E$317,MATCH("2024|"&amp;$C$8&amp;"|"&amp;"Q24_1",벤치마크!$A$164:$A$317,0)),""))</f>
        <v/>
      </c>
      <c r="F93" s="33">
        <f>IF(OR(D93="",E93=""),"",D93-E93)</f>
        <v/>
      </c>
      <c r="G93" s="30">
        <f>IFERROR(MATCH($C$9&amp;"|"&amp;$C$8&amp;"|"&amp;"Q24_1",벤치마크!$A$164:$A$317,0)*0+$C$9,IFERROR(MATCH("2024|"&amp;$C$8&amp;"|"&amp;"Q24_1",벤치마크!$A$164:$A$317,0)*0+2024,""))</f>
        <v/>
      </c>
      <c r="H93" s="30">
        <f>IF(OR(F93=""),"",IF(F93&gt;=0.3,"강점",IF(F93&lt;=-0.3,"약점","보통")))</f>
        <v/>
      </c>
    </row>
    <row r="94">
      <c r="B94" s="30" t="inlineStr">
        <is>
          <t>Q24_2</t>
        </is>
      </c>
      <c r="C94" s="17" t="inlineStr">
        <is>
          <t>일터혁신과 관련하여 고용안정을 위해 노력한다</t>
        </is>
      </c>
      <c r="D94" s="31">
        <f>IFERROR(AVERAGEIFS(점수_응답자!$E$46:$BB$46,점수_응답자!$E$4:$BB$4,$C$4,점수_응답자!$E$5:$BB$5,1),"")</f>
        <v/>
      </c>
      <c r="E94" s="31">
        <f>IFERROR(INDEX(벤치마크!$E$164:$E$317,MATCH($C$9&amp;"|"&amp;$C$8&amp;"|"&amp;"Q24_2",벤치마크!$A$164:$A$317,0)),IFERROR(INDEX(벤치마크!$E$164:$E$317,MATCH("2024|"&amp;$C$8&amp;"|"&amp;"Q24_2",벤치마크!$A$164:$A$317,0)),""))</f>
        <v/>
      </c>
      <c r="F94" s="33">
        <f>IF(OR(D94="",E94=""),"",D94-E94)</f>
        <v/>
      </c>
      <c r="G94" s="30">
        <f>IFERROR(MATCH($C$9&amp;"|"&amp;$C$8&amp;"|"&amp;"Q24_2",벤치마크!$A$164:$A$317,0)*0+$C$9,IFERROR(MATCH("2024|"&amp;$C$8&amp;"|"&amp;"Q24_2",벤치마크!$A$164:$A$317,0)*0+2024,""))</f>
        <v/>
      </c>
      <c r="H94" s="30">
        <f>IF(OR(F94=""),"",IF(F94&gt;=0.3,"강점",IF(F94&lt;=-0.3,"약점","보통")))</f>
        <v/>
      </c>
    </row>
    <row r="95">
      <c r="B95" s="30" t="inlineStr">
        <is>
          <t>Q24_3</t>
        </is>
      </c>
      <c r="C95" s="17" t="inlineStr">
        <is>
          <t>일터혁신과 관련된 작업장에서의 직원 참여활동을 지지한다</t>
        </is>
      </c>
      <c r="D95" s="31">
        <f>IFERROR(AVERAGEIFS(점수_응답자!$E$47:$BB$47,점수_응답자!$E$4:$BB$4,$C$4,점수_응답자!$E$5:$BB$5,1),"")</f>
        <v/>
      </c>
      <c r="E95" s="31">
        <f>IFERROR(INDEX(벤치마크!$E$164:$E$317,MATCH($C$9&amp;"|"&amp;$C$8&amp;"|"&amp;"Q24_3",벤치마크!$A$164:$A$317,0)),IFERROR(INDEX(벤치마크!$E$164:$E$317,MATCH("2024|"&amp;$C$8&amp;"|"&amp;"Q24_3",벤치마크!$A$164:$A$317,0)),""))</f>
        <v/>
      </c>
      <c r="F95" s="33">
        <f>IF(OR(D95="",E95=""),"",D95-E95)</f>
        <v/>
      </c>
      <c r="G95" s="30">
        <f>IFERROR(MATCH($C$9&amp;"|"&amp;$C$8&amp;"|"&amp;"Q24_3",벤치마크!$A$164:$A$317,0)*0+$C$9,IFERROR(MATCH("2024|"&amp;$C$8&amp;"|"&amp;"Q24_3",벤치마크!$A$164:$A$317,0)*0+2024,""))</f>
        <v/>
      </c>
      <c r="H95" s="30">
        <f>IF(OR(F95=""),"",IF(F95&gt;=0.3,"강점",IF(F95&lt;=-0.3,"약점","보통")))</f>
        <v/>
      </c>
    </row>
    <row r="96">
      <c r="B96" s="30" t="inlineStr">
        <is>
          <t>Q24_4</t>
        </is>
      </c>
      <c r="C96" s="17" t="inlineStr">
        <is>
          <t>일터혁신과 관련된 인적자원관리(보상, 평가 등) 활동을 지지한다</t>
        </is>
      </c>
      <c r="D96" s="31">
        <f>IFERROR(AVERAGEIFS(점수_응답자!$E$48:$BB$48,점수_응답자!$E$4:$BB$4,$C$4,점수_응답자!$E$5:$BB$5,1),"")</f>
        <v/>
      </c>
      <c r="E96" s="31">
        <f>IFERROR(INDEX(벤치마크!$E$164:$E$317,MATCH($C$9&amp;"|"&amp;$C$8&amp;"|"&amp;"Q24_4",벤치마크!$A$164:$A$317,0)),IFERROR(INDEX(벤치마크!$E$164:$E$317,MATCH("2024|"&amp;$C$8&amp;"|"&amp;"Q24_4",벤치마크!$A$164:$A$317,0)),""))</f>
        <v/>
      </c>
      <c r="F96" s="33">
        <f>IF(OR(D96="",E96=""),"",D96-E96)</f>
        <v/>
      </c>
      <c r="G96" s="30">
        <f>IFERROR(MATCH($C$9&amp;"|"&amp;$C$8&amp;"|"&amp;"Q24_4",벤치마크!$A$164:$A$317,0)*0+$C$9,IFERROR(MATCH("2024|"&amp;$C$8&amp;"|"&amp;"Q24_4",벤치마크!$A$164:$A$317,0)*0+2024,""))</f>
        <v/>
      </c>
      <c r="H96" s="30">
        <f>IF(OR(F96=""),"",IF(F96&gt;=0.3,"강점",IF(F96&lt;=-0.3,"약점","보통")))</f>
        <v/>
      </c>
    </row>
    <row r="97">
      <c r="B97" s="30" t="inlineStr">
        <is>
          <t>Q24_5</t>
        </is>
      </c>
      <c r="C97" s="17" t="inlineStr">
        <is>
          <t>일터혁신 전반에 대해 지지한다</t>
        </is>
      </c>
      <c r="D97" s="31">
        <f>IFERROR(AVERAGEIFS(점수_응답자!$E$49:$BB$49,점수_응답자!$E$4:$BB$4,$C$4,점수_응답자!$E$5:$BB$5,1),"")</f>
        <v/>
      </c>
      <c r="E97" s="31">
        <f>IFERROR(INDEX(벤치마크!$E$164:$E$317,MATCH($C$9&amp;"|"&amp;$C$8&amp;"|"&amp;"Q24_5",벤치마크!$A$164:$A$317,0)),IFERROR(INDEX(벤치마크!$E$164:$E$317,MATCH("2024|"&amp;$C$8&amp;"|"&amp;"Q24_5",벤치마크!$A$164:$A$317,0)),""))</f>
        <v/>
      </c>
      <c r="F97" s="33">
        <f>IF(OR(D97="",E97=""),"",D97-E97)</f>
        <v/>
      </c>
      <c r="G97" s="30">
        <f>IFERROR(MATCH($C$9&amp;"|"&amp;$C$8&amp;"|"&amp;"Q24_5",벤치마크!$A$164:$A$317,0)*0+$C$9,IFERROR(MATCH("2024|"&amp;$C$8&amp;"|"&amp;"Q24_5",벤치마크!$A$164:$A$317,0)*0+2024,""))</f>
        <v/>
      </c>
      <c r="H97" s="30">
        <f>IF(OR(F97=""),"",IF(F97&gt;=0.3,"강점",IF(F97&lt;=-0.3,"약점","보통")))</f>
        <v/>
      </c>
    </row>
    <row r="98">
      <c r="B98" s="8" t="inlineStr">
        <is>
          <t>참고: 지난해 고충 해결 정도(문20) 평균 코드</t>
        </is>
      </c>
      <c r="C98" s="23">
        <f>IFERROR(AVERAGEIFS(점수_응답자!$E$30:$BB$30,점수_응답자!$E$4:$BB$4,$C$4,점수_응답자!$E$5:$BB$5,1),"")</f>
        <v/>
      </c>
      <c r="D98" s="7" t="inlineStr">
        <is>
          <t>1=30%미만 … 5=90%이상 (점수 미반영)</t>
        </is>
      </c>
    </row>
  </sheetData>
  <mergeCells count="10">
    <mergeCell ref="D14:J14"/>
    <mergeCell ref="F44:J44"/>
    <mergeCell ref="D4:J4"/>
    <mergeCell ref="F43:J43"/>
    <mergeCell ref="D6:J6"/>
    <mergeCell ref="D7:J9"/>
    <mergeCell ref="F45:J45"/>
    <mergeCell ref="D13:J13"/>
    <mergeCell ref="D5:J5"/>
    <mergeCell ref="C18:J18"/>
  </mergeCells>
  <conditionalFormatting sqref="I23:I29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5:G39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E49:E5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F57:F9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C16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K23:K29">
    <cfRule type="expression" priority="11" dxfId="2">
      <formula>LEFT(K23,2)="약점"</formula>
    </cfRule>
    <cfRule type="expression" priority="12" dxfId="3">
      <formula>LEFT(K23,2)="강점"</formula>
    </cfRule>
    <cfRule type="expression" priority="13" dxfId="2">
      <formula>LEFT(K23,2)="발생"</formula>
    </cfRule>
  </conditionalFormatting>
  <conditionalFormatting sqref="H57:H97">
    <cfRule type="expression" priority="14" dxfId="2">
      <formula>LEFT(H57,2)="약점"</formula>
    </cfRule>
    <cfRule type="expression" priority="15" dxfId="3">
      <formula>LEFT(H57,2)="강점"</formula>
    </cfRule>
    <cfRule type="expression" priority="16" dxfId="2">
      <formula>LEFT(H57,2)="발생"</formula>
    </cfRule>
  </conditionalFormatting>
  <dataValidations count="3">
    <dataValidation sqref="C4" showDropDown="0" showInputMessage="0" showErrorMessage="0" allowBlank="0" type="list">
      <formula1>"사업주·담당자,근로자"</formula1>
    </dataValidation>
    <dataValidation sqref="C5" showDropDown="0" showInputMessage="0" showErrorMessage="0" allowBlank="0" type="list">
      <formula1>"2025,2024(보정),2024,2023"</formula1>
    </dataValidation>
    <dataValidation sqref="C6" showDropDown="0" showInputMessage="0" showErrorMessage="0" allowBlank="0" type="list">
      <formula1>"자동,수혜,일반"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4" customWidth="1" min="3" max="3"/>
    <col width="58" customWidth="1" min="4" max="4"/>
    <col width="13" customWidth="1" min="5" max="5"/>
    <col width="13" customWidth="1" min="6" max="6"/>
    <col width="46" customWidth="1" min="7" max="7"/>
  </cols>
  <sheetData>
    <row r="1">
      <c r="A1" s="6" t="inlineStr">
        <is>
          <t>문항별 가중치(배점) — 역산 결과</t>
        </is>
      </c>
    </row>
    <row r="2">
      <c r="A2" s="7" t="inlineStr">
        <is>
          <t>E열=2023~2025 공식 지수에서 역산한 배점(블록 배점 ÷ 문항 수, 블록 안 동일가중 검증). F열(노란 칸)을 바꾸면 결과에 바로 반영. 되돌리려면 E열 값을 F열에 복사.</t>
        </is>
      </c>
    </row>
    <row r="4">
      <c r="A4" s="11" t="inlineStr">
        <is>
          <t>문항ID</t>
        </is>
      </c>
      <c r="B4" s="11" t="inlineStr">
        <is>
          <t>중분류</t>
        </is>
      </c>
      <c r="C4" s="11" t="inlineStr">
        <is>
          <t>소분류(파트)</t>
        </is>
      </c>
      <c r="D4" s="11" t="inlineStr">
        <is>
          <t>문항</t>
        </is>
      </c>
      <c r="E4" s="11" t="inlineStr">
        <is>
          <t>공식 역산 배점</t>
        </is>
      </c>
      <c r="F4" s="11" t="inlineStr">
        <is>
          <t>적용 배점</t>
        </is>
      </c>
      <c r="G4" s="11" t="inlineStr">
        <is>
          <t>근거·신뢰도</t>
        </is>
      </c>
    </row>
    <row r="5">
      <c r="A5" s="17" t="inlineStr">
        <is>
          <t>Q16_1</t>
        </is>
      </c>
      <c r="B5" s="17" t="inlineStr">
        <is>
          <t>노사관계분위기</t>
        </is>
      </c>
      <c r="C5" s="17" t="inlineStr">
        <is>
          <t>노사관계 전반 인식</t>
        </is>
      </c>
      <c r="D5" s="17" t="inlineStr">
        <is>
          <t>노사의 이해관계가 크게 다르지 않아 협조가 잘 이루어진다</t>
        </is>
      </c>
      <c r="E5" s="38" t="n">
        <v>2.5</v>
      </c>
      <c r="F5" s="39" t="n">
        <v>2.5</v>
      </c>
      <c r="G5" s="17" t="inlineStr">
        <is>
          <t>A 검증: 2023·2024·2025 표준화값을 문항평균으로 재현(14/14 블록)</t>
        </is>
      </c>
    </row>
    <row r="6">
      <c r="A6" s="17" t="inlineStr">
        <is>
          <t>Q16_2</t>
        </is>
      </c>
      <c r="B6" s="17" t="inlineStr">
        <is>
          <t>노사관계분위기</t>
        </is>
      </c>
      <c r="C6" s="17" t="inlineStr">
        <is>
          <t>노사관계 전반 인식</t>
        </is>
      </c>
      <c r="D6" s="17" t="inlineStr">
        <is>
          <t>노사가 서로 상대방의 일에 대해 반대하지 않는다</t>
        </is>
      </c>
      <c r="E6" s="38" t="n">
        <v>2.5</v>
      </c>
      <c r="F6" s="39" t="n">
        <v>2.5</v>
      </c>
      <c r="G6" s="17" t="inlineStr">
        <is>
          <t>A 검증: 2023·2024·2025 표준화값을 문항평균으로 재현(14/14 블록)</t>
        </is>
      </c>
    </row>
    <row r="7">
      <c r="A7" s="17" t="inlineStr">
        <is>
          <t>Q16_3</t>
        </is>
      </c>
      <c r="B7" s="17" t="inlineStr">
        <is>
          <t>노사관계분위기</t>
        </is>
      </c>
      <c r="C7" s="17" t="inlineStr">
        <is>
          <t>노사관계 전반 인식</t>
        </is>
      </c>
      <c r="D7" s="17" t="inlineStr">
        <is>
          <t>노사 모두가 회사를 더욱 일하기 좋은 곳으로 만들려고 노력한다</t>
        </is>
      </c>
      <c r="E7" s="38" t="n">
        <v>2.5</v>
      </c>
      <c r="F7" s="39" t="n">
        <v>2.5</v>
      </c>
      <c r="G7" s="17" t="inlineStr">
        <is>
          <t>A 검증: 2023·2024·2025 표준화값을 문항평균으로 재현(14/14 블록)</t>
        </is>
      </c>
    </row>
    <row r="8">
      <c r="A8" s="17" t="inlineStr">
        <is>
          <t>Q16_4</t>
        </is>
      </c>
      <c r="B8" s="17" t="inlineStr">
        <is>
          <t>노사관계분위기</t>
        </is>
      </c>
      <c r="C8" s="17" t="inlineStr">
        <is>
          <t>노사관계 전반 인식</t>
        </is>
      </c>
      <c r="D8" s="17" t="inlineStr">
        <is>
          <t>그간 노사관계가 협력적이었다</t>
        </is>
      </c>
      <c r="E8" s="38" t="n">
        <v>2.5</v>
      </c>
      <c r="F8" s="39" t="n">
        <v>2.5</v>
      </c>
      <c r="G8" s="17" t="inlineStr">
        <is>
          <t>A 검증: 2023·2024·2025 표준화값을 문항평균으로 재현(14/14 블록)</t>
        </is>
      </c>
    </row>
    <row r="9">
      <c r="A9" s="17" t="inlineStr">
        <is>
          <t>Q24_1</t>
        </is>
      </c>
      <c r="B9" s="17" t="inlineStr">
        <is>
          <t>노사관계분위기</t>
        </is>
      </c>
      <c r="C9" s="17" t="inlineStr">
        <is>
          <t>노조·근로자대표의 혁신 태도</t>
        </is>
      </c>
      <c r="D9" s="17" t="inlineStr">
        <is>
          <t>일터혁신과 관련된 인적자원개발(교육훈련 등) 활동을 지지한다</t>
        </is>
      </c>
      <c r="E9" s="38" t="n">
        <v>2</v>
      </c>
      <c r="F9" s="39" t="n">
        <v>2</v>
      </c>
      <c r="G9" s="17" t="inlineStr">
        <is>
          <t>A 검증: 2023·2024·2025 표준화값을 문항평균으로 재현(14/14 블록)</t>
        </is>
      </c>
    </row>
    <row r="10">
      <c r="A10" s="17" t="inlineStr">
        <is>
          <t>Q24_2</t>
        </is>
      </c>
      <c r="B10" s="17" t="inlineStr">
        <is>
          <t>노사관계분위기</t>
        </is>
      </c>
      <c r="C10" s="17" t="inlineStr">
        <is>
          <t>노조·근로자대표의 혁신 태도</t>
        </is>
      </c>
      <c r="D10" s="17" t="inlineStr">
        <is>
          <t>일터혁신과 관련하여 고용안정을 위해 노력한다</t>
        </is>
      </c>
      <c r="E10" s="38" t="n">
        <v>2</v>
      </c>
      <c r="F10" s="39" t="n">
        <v>2</v>
      </c>
      <c r="G10" s="17" t="inlineStr">
        <is>
          <t>A 검증: 2023·2024·2025 표준화값을 문항평균으로 재현(14/14 블록)</t>
        </is>
      </c>
    </row>
    <row r="11">
      <c r="A11" s="17" t="inlineStr">
        <is>
          <t>Q24_3</t>
        </is>
      </c>
      <c r="B11" s="17" t="inlineStr">
        <is>
          <t>노사관계분위기</t>
        </is>
      </c>
      <c r="C11" s="17" t="inlineStr">
        <is>
          <t>노조·근로자대표의 혁신 태도</t>
        </is>
      </c>
      <c r="D11" s="17" t="inlineStr">
        <is>
          <t>일터혁신과 관련된 작업장에서의 직원 참여활동을 지지한다</t>
        </is>
      </c>
      <c r="E11" s="38" t="n">
        <v>2</v>
      </c>
      <c r="F11" s="39" t="n">
        <v>2</v>
      </c>
      <c r="G11" s="17" t="inlineStr">
        <is>
          <t>A 검증: 2023·2024·2025 표준화값을 문항평균으로 재현(14/14 블록)</t>
        </is>
      </c>
    </row>
    <row r="12">
      <c r="A12" s="17" t="inlineStr">
        <is>
          <t>Q24_4</t>
        </is>
      </c>
      <c r="B12" s="17" t="inlineStr">
        <is>
          <t>노사관계분위기</t>
        </is>
      </c>
      <c r="C12" s="17" t="inlineStr">
        <is>
          <t>노조·근로자대표의 혁신 태도</t>
        </is>
      </c>
      <c r="D12" s="17" t="inlineStr">
        <is>
          <t>일터혁신과 관련된 인적자원관리(보상, 평가 등) 활동을 지지한다</t>
        </is>
      </c>
      <c r="E12" s="38" t="n">
        <v>2</v>
      </c>
      <c r="F12" s="39" t="n">
        <v>2</v>
      </c>
      <c r="G12" s="17" t="inlineStr">
        <is>
          <t>A 검증: 2023·2024·2025 표준화값을 문항평균으로 재현(14/14 블록)</t>
        </is>
      </c>
    </row>
    <row r="13">
      <c r="A13" s="17" t="inlineStr">
        <is>
          <t>Q24_5</t>
        </is>
      </c>
      <c r="B13" s="17" t="inlineStr">
        <is>
          <t>노사관계분위기</t>
        </is>
      </c>
      <c r="C13" s="17" t="inlineStr">
        <is>
          <t>노조·근로자대표의 혁신 태도</t>
        </is>
      </c>
      <c r="D13" s="17" t="inlineStr">
        <is>
          <t>일터혁신 전반에 대해 지지한다</t>
        </is>
      </c>
      <c r="E13" s="38" t="n">
        <v>2</v>
      </c>
      <c r="F13" s="39" t="n">
        <v>2</v>
      </c>
      <c r="G13" s="17" t="inlineStr">
        <is>
          <t>A 검증: 2023·2024·2025 표준화값을 문항평균으로 재현(14/14 블록)</t>
        </is>
      </c>
    </row>
    <row r="14">
      <c r="A14" s="17" t="inlineStr">
        <is>
          <t>Q17_1</t>
        </is>
      </c>
      <c r="B14" s="17" t="inlineStr">
        <is>
          <t>노사협력 및 갈등</t>
        </is>
      </c>
      <c r="C14" s="17" t="inlineStr">
        <is>
          <t>노사협력 프로그램</t>
        </is>
      </c>
      <c r="D14" s="17" t="inlineStr">
        <is>
          <t>노사협력선언·노사공동결의대회</t>
        </is>
      </c>
      <c r="E14" s="38" t="n">
        <v>2.6</v>
      </c>
      <c r="F14" s="39" t="n">
        <v>2.6</v>
      </c>
      <c r="G14" s="17" t="inlineStr">
        <is>
          <t>B/C: 2023식 재현, 2024·2025 공표값 미재현(공개 집계 한계)</t>
        </is>
      </c>
    </row>
    <row r="15">
      <c r="A15" s="17" t="inlineStr">
        <is>
          <t>Q17_2</t>
        </is>
      </c>
      <c r="B15" s="17" t="inlineStr">
        <is>
          <t>노사협력 및 갈등</t>
        </is>
      </c>
      <c r="C15" s="17" t="inlineStr">
        <is>
          <t>노사협력 프로그램</t>
        </is>
      </c>
      <c r="D15" s="17" t="inlineStr">
        <is>
          <t>노사공동기구·위원회를 통한 문제해결</t>
        </is>
      </c>
      <c r="E15" s="38" t="n">
        <v>2.6</v>
      </c>
      <c r="F15" s="39" t="n">
        <v>2.6</v>
      </c>
      <c r="G15" s="17" t="inlineStr">
        <is>
          <t>B/C: 2023식 재현, 2024·2025 공표값 미재현(공개 집계 한계)</t>
        </is>
      </c>
    </row>
    <row r="16">
      <c r="A16" s="17" t="inlineStr">
        <is>
          <t>Q17_3</t>
        </is>
      </c>
      <c r="B16" s="17" t="inlineStr">
        <is>
          <t>노사협력 및 갈등</t>
        </is>
      </c>
      <c r="C16" s="17" t="inlineStr">
        <is>
          <t>노사협력 프로그램</t>
        </is>
      </c>
      <c r="D16" s="17" t="inlineStr">
        <is>
          <t>노사공동교육·워크숍</t>
        </is>
      </c>
      <c r="E16" s="38" t="n">
        <v>2.6</v>
      </c>
      <c r="F16" s="39" t="n">
        <v>2.6</v>
      </c>
      <c r="G16" s="17" t="inlineStr">
        <is>
          <t>B/C: 2023식 재현, 2024·2025 공표값 미재현(공개 집계 한계)</t>
        </is>
      </c>
    </row>
    <row r="17">
      <c r="A17" s="17" t="inlineStr">
        <is>
          <t>Q17_4</t>
        </is>
      </c>
      <c r="B17" s="17" t="inlineStr">
        <is>
          <t>노사협력 및 갈등</t>
        </is>
      </c>
      <c r="C17" s="17" t="inlineStr">
        <is>
          <t>노사협력 프로그램</t>
        </is>
      </c>
      <c r="D17" s="17" t="inlineStr">
        <is>
          <t>직원단합대회(체육대회, 등반대회, 야유회 등)</t>
        </is>
      </c>
      <c r="E17" s="38" t="n">
        <v>2.6</v>
      </c>
      <c r="F17" s="39" t="n">
        <v>2.6</v>
      </c>
      <c r="G17" s="17" t="inlineStr">
        <is>
          <t>B/C: 2023식 재현, 2024·2025 공표값 미재현(공개 집계 한계)</t>
        </is>
      </c>
    </row>
    <row r="18">
      <c r="A18" s="17" t="inlineStr">
        <is>
          <t>Q17_5</t>
        </is>
      </c>
      <c r="B18" s="17" t="inlineStr">
        <is>
          <t>노사협력 및 갈등</t>
        </is>
      </c>
      <c r="C18" s="17" t="inlineStr">
        <is>
          <t>노사협력 프로그램</t>
        </is>
      </c>
      <c r="D18" s="17" t="inlineStr">
        <is>
          <t>노사공동 사회봉사(일사일촌 등)</t>
        </is>
      </c>
      <c r="E18" s="38" t="n">
        <v>2.6</v>
      </c>
      <c r="F18" s="39" t="n">
        <v>2.6</v>
      </c>
      <c r="G18" s="17" t="inlineStr">
        <is>
          <t>B/C: 2023식 재현, 2024·2025 공표값 미재현(공개 집계 한계)</t>
        </is>
      </c>
    </row>
    <row r="19">
      <c r="A19" s="17" t="inlineStr">
        <is>
          <t>Q18_1</t>
        </is>
      </c>
      <c r="B19" s="17" t="inlineStr">
        <is>
          <t>노사협력 및 갈등</t>
        </is>
      </c>
      <c r="C19" s="17" t="inlineStr">
        <is>
          <t>노사갈등(미발생)</t>
        </is>
      </c>
      <c r="D19" s="17" t="inlineStr">
        <is>
          <t>파업(부분파업 포함) 발생</t>
        </is>
      </c>
      <c r="E19" s="38" t="n">
        <v>3</v>
      </c>
      <c r="F19" s="39" t="n">
        <v>3</v>
      </c>
      <c r="G19" s="17" t="inlineStr">
        <is>
          <t>B: 1-평균발생률과 ±0.006 일치(2023·2025), 2024 공표값은 이상치</t>
        </is>
      </c>
    </row>
    <row r="20">
      <c r="A20" s="17" t="inlineStr">
        <is>
          <t>Q18_2</t>
        </is>
      </c>
      <c r="B20" s="17" t="inlineStr">
        <is>
          <t>노사협력 및 갈등</t>
        </is>
      </c>
      <c r="C20" s="17" t="inlineStr">
        <is>
          <t>노사갈등(미발생)</t>
        </is>
      </c>
      <c r="D20" s="17" t="inlineStr">
        <is>
          <t>노사문제로 인한 경제적 손실 발생</t>
        </is>
      </c>
      <c r="E20" s="38" t="n">
        <v>3</v>
      </c>
      <c r="F20" s="39" t="n">
        <v>3</v>
      </c>
      <c r="G20" s="17" t="inlineStr">
        <is>
          <t>B: 1-평균발생률과 ±0.006 일치(2023·2025), 2024 공표값은 이상치</t>
        </is>
      </c>
    </row>
    <row r="21">
      <c r="A21" s="17" t="inlineStr">
        <is>
          <t>Q18_3</t>
        </is>
      </c>
      <c r="B21" s="17" t="inlineStr">
        <is>
          <t>노사협력 및 갈등</t>
        </is>
      </c>
      <c r="C21" s="17" t="inlineStr">
        <is>
          <t>노사갈등(미발생)</t>
        </is>
      </c>
      <c r="D21" s="17" t="inlineStr">
        <is>
          <t>노사문제로 인한 고소·고발 발생</t>
        </is>
      </c>
      <c r="E21" s="38" t="n">
        <v>3</v>
      </c>
      <c r="F21" s="39" t="n">
        <v>3</v>
      </c>
      <c r="G21" s="17" t="inlineStr">
        <is>
          <t>B: 1-평균발생률과 ±0.006 일치(2023·2025), 2024 공표값은 이상치</t>
        </is>
      </c>
    </row>
    <row r="22">
      <c r="A22" s="17" t="inlineStr">
        <is>
          <t>Q18_4</t>
        </is>
      </c>
      <c r="B22" s="17" t="inlineStr">
        <is>
          <t>노사협력 및 갈등</t>
        </is>
      </c>
      <c r="C22" s="17" t="inlineStr">
        <is>
          <t>노사갈등(미발생)</t>
        </is>
      </c>
      <c r="D22" s="17" t="inlineStr">
        <is>
          <t>노사문제로 인한 해고자 발생</t>
        </is>
      </c>
      <c r="E22" s="38" t="n">
        <v>3</v>
      </c>
      <c r="F22" s="39" t="n">
        <v>3</v>
      </c>
      <c r="G22" s="17" t="inlineStr">
        <is>
          <t>B: 1-평균발생률과 ±0.006 일치(2023·2025), 2024 공표값은 이상치</t>
        </is>
      </c>
    </row>
    <row r="23">
      <c r="A23" s="17" t="inlineStr">
        <is>
          <t>Q21_1</t>
        </is>
      </c>
      <c r="B23" s="17" t="inlineStr">
        <is>
          <t>정보공유와 의사소통</t>
        </is>
      </c>
      <c r="C23" s="17" t="inlineStr">
        <is>
          <t>정보공유·의사소통</t>
        </is>
      </c>
      <c r="D23" s="17" t="inlineStr">
        <is>
          <t>노사 간에는 공식·비공식의 의사소통 통로가 다양하게 존재한다</t>
        </is>
      </c>
      <c r="E23" s="38" t="n">
        <v>2.777777777777778</v>
      </c>
      <c r="F23" s="39" t="n">
        <v>2.777777777777778</v>
      </c>
      <c r="G23" s="17" t="inlineStr">
        <is>
          <t>A 검증: 2023·2024·2025 표준화값을 문항평균으로 재현(14/14 블록)</t>
        </is>
      </c>
    </row>
    <row r="24">
      <c r="A24" s="17" t="inlineStr">
        <is>
          <t>Q21_2</t>
        </is>
      </c>
      <c r="B24" s="17" t="inlineStr">
        <is>
          <t>정보공유와 의사소통</t>
        </is>
      </c>
      <c r="C24" s="17" t="inlineStr">
        <is>
          <t>정보공유·의사소통</t>
        </is>
      </c>
      <c r="D24" s="17" t="inlineStr">
        <is>
          <t>경영진과 근로자와의 정기적인 간담회가 잘 이루어진다</t>
        </is>
      </c>
      <c r="E24" s="38" t="n">
        <v>2.777777777777778</v>
      </c>
      <c r="F24" s="39" t="n">
        <v>2.777777777777778</v>
      </c>
      <c r="G24" s="17" t="inlineStr">
        <is>
          <t>A 검증: 2023·2024·2025 표준화값을 문항평균으로 재현(14/14 블록)</t>
        </is>
      </c>
    </row>
    <row r="25">
      <c r="A25" s="17" t="inlineStr">
        <is>
          <t>Q21_3</t>
        </is>
      </c>
      <c r="B25" s="17" t="inlineStr">
        <is>
          <t>정보공유와 의사소통</t>
        </is>
      </c>
      <c r="C25" s="17" t="inlineStr">
        <is>
          <t>정보공유·의사소통</t>
        </is>
      </c>
      <c r="D25" s="17" t="inlineStr">
        <is>
          <t>필요시 노사대표 간 핫라인이 잘 작동된다</t>
        </is>
      </c>
      <c r="E25" s="38" t="n">
        <v>2.777777777777778</v>
      </c>
      <c r="F25" s="39" t="n">
        <v>2.777777777777778</v>
      </c>
      <c r="G25" s="17" t="inlineStr">
        <is>
          <t>A 검증: 2023·2024·2025 표준화값을 문항평균으로 재현(14/14 블록)</t>
        </is>
      </c>
    </row>
    <row r="26">
      <c r="A26" s="17" t="inlineStr">
        <is>
          <t>Q21_4</t>
        </is>
      </c>
      <c r="B26" s="17" t="inlineStr">
        <is>
          <t>정보공유와 의사소통</t>
        </is>
      </c>
      <c r="C26" s="17" t="inlineStr">
        <is>
          <t>정보공유·의사소통</t>
        </is>
      </c>
      <c r="D26" s="17" t="inlineStr">
        <is>
          <t>근로자들의 일상적인 문제들이 노사 간 의사소통을 통해서 잘 해결되고 있다</t>
        </is>
      </c>
      <c r="E26" s="38" t="n">
        <v>2.777777777777778</v>
      </c>
      <c r="F26" s="39" t="n">
        <v>2.777777777777778</v>
      </c>
      <c r="G26" s="17" t="inlineStr">
        <is>
          <t>A 검증: 2023·2024·2025 표준화값을 문항평균으로 재현(14/14 블록)</t>
        </is>
      </c>
    </row>
    <row r="27">
      <c r="A27" s="17" t="inlineStr">
        <is>
          <t>Q21_5</t>
        </is>
      </c>
      <c r="B27" s="17" t="inlineStr">
        <is>
          <t>정보공유와 의사소통</t>
        </is>
      </c>
      <c r="C27" s="17" t="inlineStr">
        <is>
          <t>정보공유·의사소통</t>
        </is>
      </c>
      <c r="D27" s="17" t="inlineStr">
        <is>
          <t>개별 직원들이 최고책임자나 경영진에게 자신의 의견을 말할 수 있는 기회가 많다</t>
        </is>
      </c>
      <c r="E27" s="38" t="n">
        <v>2.777777777777778</v>
      </c>
      <c r="F27" s="39" t="n">
        <v>2.777777777777778</v>
      </c>
      <c r="G27" s="17" t="inlineStr">
        <is>
          <t>A 검증: 2023·2024·2025 표준화값을 문항평균으로 재현(14/14 블록)</t>
        </is>
      </c>
    </row>
    <row r="28">
      <c r="A28" s="17" t="inlineStr">
        <is>
          <t>Q22_1</t>
        </is>
      </c>
      <c r="B28" s="17" t="inlineStr">
        <is>
          <t>정보공유와 의사소통</t>
        </is>
      </c>
      <c r="C28" s="17" t="inlineStr">
        <is>
          <t>정보공유·의사소통</t>
        </is>
      </c>
      <c r="D28" s="17" t="inlineStr">
        <is>
          <t>근로자들은 회사의 비전과 목표가 무엇인지 알고 있다</t>
        </is>
      </c>
      <c r="E28" s="38" t="n">
        <v>2.777777777777778</v>
      </c>
      <c r="F28" s="39" t="n">
        <v>2.777777777777778</v>
      </c>
      <c r="G28" s="17" t="inlineStr">
        <is>
          <t>A 검증: 2023·2024·2025 표준화값을 문항평균으로 재현(14/14 블록)</t>
        </is>
      </c>
    </row>
    <row r="29">
      <c r="A29" s="17" t="inlineStr">
        <is>
          <t>Q22_2</t>
        </is>
      </c>
      <c r="B29" s="17" t="inlineStr">
        <is>
          <t>정보공유와 의사소통</t>
        </is>
      </c>
      <c r="C29" s="17" t="inlineStr">
        <is>
          <t>정보공유·의사소통</t>
        </is>
      </c>
      <c r="D29" s="17" t="inlineStr">
        <is>
          <t>근로자들은 회사의 각종 경영현황을 이해하고 있다</t>
        </is>
      </c>
      <c r="E29" s="38" t="n">
        <v>2.777777777777778</v>
      </c>
      <c r="F29" s="39" t="n">
        <v>2.777777777777778</v>
      </c>
      <c r="G29" s="17" t="inlineStr">
        <is>
          <t>A 검증: 2023·2024·2025 표준화값을 문항평균으로 재현(14/14 블록)</t>
        </is>
      </c>
    </row>
    <row r="30">
      <c r="A30" s="17" t="inlineStr">
        <is>
          <t>Q22_3</t>
        </is>
      </c>
      <c r="B30" s="17" t="inlineStr">
        <is>
          <t>정보공유와 의사소통</t>
        </is>
      </c>
      <c r="C30" s="17" t="inlineStr">
        <is>
          <t>정보공유·의사소통</t>
        </is>
      </c>
      <c r="D30" s="17" t="inlineStr">
        <is>
          <t>회사는 각종 경영정보를 근로자와 공유하고 있다</t>
        </is>
      </c>
      <c r="E30" s="38" t="n">
        <v>2.777777777777778</v>
      </c>
      <c r="F30" s="39" t="n">
        <v>2.777777777777778</v>
      </c>
      <c r="G30" s="17" t="inlineStr">
        <is>
          <t>A 검증: 2023·2024·2025 표준화값을 문항평균으로 재현(14/14 블록)</t>
        </is>
      </c>
    </row>
    <row r="31">
      <c r="A31" s="17" t="inlineStr">
        <is>
          <t>Q22_4</t>
        </is>
      </c>
      <c r="B31" s="17" t="inlineStr">
        <is>
          <t>정보공유와 의사소통</t>
        </is>
      </c>
      <c r="C31" s="17" t="inlineStr">
        <is>
          <t>정보공유·의사소통</t>
        </is>
      </c>
      <c r="D31" s="17" t="inlineStr">
        <is>
          <t>근로자는 회사가 제공하는 경영정보를 신뢰한다</t>
        </is>
      </c>
      <c r="E31" s="38" t="n">
        <v>2.777777777777778</v>
      </c>
      <c r="F31" s="39" t="n">
        <v>2.777777777777778</v>
      </c>
      <c r="G31" s="17" t="inlineStr">
        <is>
          <t>A 검증: 2023·2024·2025 표준화값을 문항평균으로 재현(14/14 블록)</t>
        </is>
      </c>
    </row>
    <row r="32">
      <c r="A32" s="17" t="inlineStr">
        <is>
          <t>Q19_1</t>
        </is>
      </c>
      <c r="B32" s="17" t="inlineStr">
        <is>
          <t>고충처리</t>
        </is>
      </c>
      <c r="C32" s="17" t="inlineStr">
        <is>
          <t>고충처리</t>
        </is>
      </c>
      <c r="D32" s="17" t="inlineStr">
        <is>
          <t>근로자의 고충을 전달할 공식적인 통로를 충분히 제공하고 있다</t>
        </is>
      </c>
      <c r="E32" s="38" t="n">
        <v>3.75</v>
      </c>
      <c r="F32" s="39" t="n">
        <v>3.75</v>
      </c>
      <c r="G32" s="17" t="inlineStr">
        <is>
          <t>A 검증: 2023·2024·2025 표준화값을 문항평균으로 재현(14/14 블록)</t>
        </is>
      </c>
    </row>
    <row r="33">
      <c r="A33" s="17" t="inlineStr">
        <is>
          <t>Q19_2</t>
        </is>
      </c>
      <c r="B33" s="17" t="inlineStr">
        <is>
          <t>고충처리</t>
        </is>
      </c>
      <c r="C33" s="17" t="inlineStr">
        <is>
          <t>고충처리</t>
        </is>
      </c>
      <c r="D33" s="17" t="inlineStr">
        <is>
          <t>고충 제기 후 처리과정에서 노사 간 의사소통이 수시로 이루어진다</t>
        </is>
      </c>
      <c r="E33" s="38" t="n">
        <v>3.75</v>
      </c>
      <c r="F33" s="39" t="n">
        <v>3.75</v>
      </c>
      <c r="G33" s="17" t="inlineStr">
        <is>
          <t>A 검증: 2023·2024·2025 표준화값을 문항평균으로 재현(14/14 블록)</t>
        </is>
      </c>
    </row>
    <row r="34">
      <c r="A34" s="17" t="inlineStr">
        <is>
          <t>Q19_3</t>
        </is>
      </c>
      <c r="B34" s="17" t="inlineStr">
        <is>
          <t>고충처리</t>
        </is>
      </c>
      <c r="C34" s="17" t="inlineStr">
        <is>
          <t>고충처리</t>
        </is>
      </c>
      <c r="D34" s="17" t="inlineStr">
        <is>
          <t>근로자의 고충을 효과적으로 처리한다</t>
        </is>
      </c>
      <c r="E34" s="38" t="n">
        <v>3.75</v>
      </c>
      <c r="F34" s="39" t="n">
        <v>3.75</v>
      </c>
      <c r="G34" s="17" t="inlineStr">
        <is>
          <t>A 검증: 2023·2024·2025 표준화값을 문항평균으로 재현(14/14 블록)</t>
        </is>
      </c>
    </row>
    <row r="35">
      <c r="A35" s="17" t="inlineStr">
        <is>
          <t>Q19_4</t>
        </is>
      </c>
      <c r="B35" s="17" t="inlineStr">
        <is>
          <t>고충처리</t>
        </is>
      </c>
      <c r="C35" s="17" t="inlineStr">
        <is>
          <t>고충처리</t>
        </is>
      </c>
      <c r="D35" s="17" t="inlineStr">
        <is>
          <t>고충처리에 대해 근로자들은 만족하고 있다</t>
        </is>
      </c>
      <c r="E35" s="38" t="n">
        <v>3.75</v>
      </c>
      <c r="F35" s="39" t="n">
        <v>3.75</v>
      </c>
      <c r="G35" s="17" t="inlineStr">
        <is>
          <t>A 검증: 2023·2024·2025 표준화값을 문항평균으로 재현(14/14 블록)</t>
        </is>
      </c>
    </row>
    <row r="36">
      <c r="A36" s="17" t="inlineStr">
        <is>
          <t>Q23_1</t>
        </is>
      </c>
      <c r="B36" s="17" t="inlineStr">
        <is>
          <t>노사협의회</t>
        </is>
      </c>
      <c r="C36" s="17" t="inlineStr">
        <is>
          <t>노사협의회 활용성</t>
        </is>
      </c>
      <c r="D36" s="17" t="inlineStr">
        <is>
          <t>경영 계획과 실적에 대한 정보공유 창구로 활용된다</t>
        </is>
      </c>
      <c r="E36" s="38" t="n">
        <v>3</v>
      </c>
      <c r="F36" s="39" t="n">
        <v>3</v>
      </c>
      <c r="G36" s="17" t="inlineStr">
        <is>
          <t>A 검증: 2023·2024·2025 표준화값을 문항평균으로 재현(14/14 블록)</t>
        </is>
      </c>
    </row>
    <row r="37">
      <c r="A37" s="17" t="inlineStr">
        <is>
          <t>Q23_2</t>
        </is>
      </c>
      <c r="B37" s="17" t="inlineStr">
        <is>
          <t>노사협의회</t>
        </is>
      </c>
      <c r="C37" s="17" t="inlineStr">
        <is>
          <t>노사협의회 활용성</t>
        </is>
      </c>
      <c r="D37" s="17" t="inlineStr">
        <is>
          <t>인사노무제도 개선을 위한 논의 창구로 활용된다</t>
        </is>
      </c>
      <c r="E37" s="38" t="n">
        <v>3</v>
      </c>
      <c r="F37" s="39" t="n">
        <v>3</v>
      </c>
      <c r="G37" s="17" t="inlineStr">
        <is>
          <t>A 검증: 2023·2024·2025 표준화값을 문항평균으로 재현(14/14 블록)</t>
        </is>
      </c>
    </row>
    <row r="38">
      <c r="A38" s="17" t="inlineStr">
        <is>
          <t>Q23_3</t>
        </is>
      </c>
      <c r="B38" s="17" t="inlineStr">
        <is>
          <t>노사협의회</t>
        </is>
      </c>
      <c r="C38" s="17" t="inlineStr">
        <is>
          <t>노사협의회 활용성</t>
        </is>
      </c>
      <c r="D38" s="17" t="inlineStr">
        <is>
          <t>안전보건 및 작업환경 개선을 위한 논의 창구로 활용된다</t>
        </is>
      </c>
      <c r="E38" s="38" t="n">
        <v>3</v>
      </c>
      <c r="F38" s="39" t="n">
        <v>3</v>
      </c>
      <c r="G38" s="17" t="inlineStr">
        <is>
          <t>A 검증: 2023·2024·2025 표준화값을 문항평균으로 재현(14/14 블록)</t>
        </is>
      </c>
    </row>
    <row r="39">
      <c r="A39" s="17" t="inlineStr">
        <is>
          <t>Q23_4</t>
        </is>
      </c>
      <c r="B39" s="17" t="inlineStr">
        <is>
          <t>노사협의회</t>
        </is>
      </c>
      <c r="C39" s="17" t="inlineStr">
        <is>
          <t>노사협의회 활용성</t>
        </is>
      </c>
      <c r="D39" s="17" t="inlineStr">
        <is>
          <t>근로자 복지개선을 위한 협의 창구로 활용된다</t>
        </is>
      </c>
      <c r="E39" s="38" t="n">
        <v>3</v>
      </c>
      <c r="F39" s="39" t="n">
        <v>3</v>
      </c>
      <c r="G39" s="17" t="inlineStr">
        <is>
          <t>A 검증: 2023·2024·2025 표준화값을 문항평균으로 재현(14/14 블록)</t>
        </is>
      </c>
    </row>
    <row r="40">
      <c r="A40" s="17" t="inlineStr">
        <is>
          <t>Q23_5</t>
        </is>
      </c>
      <c r="B40" s="17" t="inlineStr">
        <is>
          <t>노사협의회</t>
        </is>
      </c>
      <c r="C40" s="17" t="inlineStr">
        <is>
          <t>노사협의회 활용성</t>
        </is>
      </c>
      <c r="D40" s="17" t="inlineStr">
        <is>
          <t>작업장 내 생산성 향상을 위한 논의 창구로 활용된다</t>
        </is>
      </c>
      <c r="E40" s="38" t="n">
        <v>3</v>
      </c>
      <c r="F40" s="39" t="n">
        <v>3</v>
      </c>
      <c r="G40" s="17" t="inlineStr">
        <is>
          <t>A 검증: 2023·2024·2025 표준화값을 문항평균으로 재현(14/14 블록)</t>
        </is>
      </c>
    </row>
    <row r="42">
      <c r="A42" s="8" t="inlineStr">
        <is>
          <t>합계</t>
        </is>
      </c>
      <c r="E42" s="40">
        <f>SUM(E5:E40)</f>
        <v/>
      </c>
      <c r="F42" s="40">
        <f>SUM(F5:F40)</f>
        <v/>
      </c>
    </row>
    <row r="44">
      <c r="A44" s="11" t="inlineStr">
        <is>
          <t>파트</t>
        </is>
      </c>
      <c r="B44" s="11" t="inlineStr">
        <is>
          <t>중분류</t>
        </is>
      </c>
      <c r="C44" s="11" t="inlineStr">
        <is>
          <t>소분류</t>
        </is>
      </c>
      <c r="D44" s="11" t="inlineStr">
        <is>
          <t>문항 수</t>
        </is>
      </c>
      <c r="E44" s="11" t="inlineStr">
        <is>
          <t>공식 배점</t>
        </is>
      </c>
      <c r="F44" s="11" t="inlineStr">
        <is>
          <t>적용 배점</t>
        </is>
      </c>
    </row>
    <row r="45">
      <c r="A45" s="16" t="inlineStr">
        <is>
          <t>P1</t>
        </is>
      </c>
      <c r="B45" s="16" t="inlineStr">
        <is>
          <t>노사관계분위기</t>
        </is>
      </c>
      <c r="C45" s="16" t="inlineStr">
        <is>
          <t>노사관계 전반 인식</t>
        </is>
      </c>
      <c r="D45" s="16" t="n">
        <v>4</v>
      </c>
      <c r="E45" s="41">
        <f>SUMIF($C$5:$C$40,C45,$E$5:$E$40)</f>
        <v/>
      </c>
      <c r="F45" s="41">
        <f>SUMIF($C$5:$C$40,C45,$F$5:$F$40)</f>
        <v/>
      </c>
    </row>
    <row r="46">
      <c r="A46" s="16" t="inlineStr">
        <is>
          <t>P2</t>
        </is>
      </c>
      <c r="B46" s="16" t="inlineStr">
        <is>
          <t>노사관계분위기</t>
        </is>
      </c>
      <c r="C46" s="16" t="inlineStr">
        <is>
          <t>노조·근로자대표의 혁신 태도</t>
        </is>
      </c>
      <c r="D46" s="16" t="n">
        <v>5</v>
      </c>
      <c r="E46" s="41">
        <f>SUMIF($C$5:$C$40,C46,$E$5:$E$40)</f>
        <v/>
      </c>
      <c r="F46" s="41">
        <f>SUMIF($C$5:$C$40,C46,$F$5:$F$40)</f>
        <v/>
      </c>
    </row>
    <row r="47">
      <c r="A47" s="16" t="inlineStr">
        <is>
          <t>P3</t>
        </is>
      </c>
      <c r="B47" s="16" t="inlineStr">
        <is>
          <t>노사협력 및 갈등</t>
        </is>
      </c>
      <c r="C47" s="16" t="inlineStr">
        <is>
          <t>노사협력 프로그램</t>
        </is>
      </c>
      <c r="D47" s="16" t="n">
        <v>5</v>
      </c>
      <c r="E47" s="41">
        <f>SUMIF($C$5:$C$40,C47,$E$5:$E$40)</f>
        <v/>
      </c>
      <c r="F47" s="41">
        <f>SUMIF($C$5:$C$40,C47,$F$5:$F$40)</f>
        <v/>
      </c>
    </row>
    <row r="48">
      <c r="A48" s="16" t="inlineStr">
        <is>
          <t>P4</t>
        </is>
      </c>
      <c r="B48" s="16" t="inlineStr">
        <is>
          <t>노사협력 및 갈등</t>
        </is>
      </c>
      <c r="C48" s="16" t="inlineStr">
        <is>
          <t>노사갈등(미발생)</t>
        </is>
      </c>
      <c r="D48" s="16" t="n">
        <v>4</v>
      </c>
      <c r="E48" s="41">
        <f>SUMIF($C$5:$C$40,C48,$E$5:$E$40)</f>
        <v/>
      </c>
      <c r="F48" s="41">
        <f>SUMIF($C$5:$C$40,C48,$F$5:$F$40)</f>
        <v/>
      </c>
    </row>
    <row r="49">
      <c r="A49" s="16" t="inlineStr">
        <is>
          <t>P5</t>
        </is>
      </c>
      <c r="B49" s="16" t="inlineStr">
        <is>
          <t>정보공유와 의사소통</t>
        </is>
      </c>
      <c r="C49" s="16" t="inlineStr">
        <is>
          <t>정보공유·의사소통</t>
        </is>
      </c>
      <c r="D49" s="16" t="n">
        <v>9</v>
      </c>
      <c r="E49" s="41">
        <f>SUMIF($C$5:$C$40,C49,$E$5:$E$40)</f>
        <v/>
      </c>
      <c r="F49" s="41">
        <f>SUMIF($C$5:$C$40,C49,$F$5:$F$40)</f>
        <v/>
      </c>
    </row>
    <row r="50">
      <c r="A50" s="16" t="inlineStr">
        <is>
          <t>P6</t>
        </is>
      </c>
      <c r="B50" s="16" t="inlineStr">
        <is>
          <t>고충처리</t>
        </is>
      </c>
      <c r="C50" s="16" t="inlineStr">
        <is>
          <t>고충처리</t>
        </is>
      </c>
      <c r="D50" s="16" t="n">
        <v>4</v>
      </c>
      <c r="E50" s="41">
        <f>SUMIF($C$5:$C$40,C50,$E$5:$E$40)</f>
        <v/>
      </c>
      <c r="F50" s="41">
        <f>SUMIF($C$5:$C$40,C50,$F$5:$F$40)</f>
        <v/>
      </c>
    </row>
    <row r="51">
      <c r="A51" s="16" t="inlineStr">
        <is>
          <t>P7</t>
        </is>
      </c>
      <c r="B51" s="16" t="inlineStr">
        <is>
          <t>노사협의회</t>
        </is>
      </c>
      <c r="C51" s="16" t="inlineStr">
        <is>
          <t>노사협의회 활용성</t>
        </is>
      </c>
      <c r="D51" s="16" t="n">
        <v>5</v>
      </c>
      <c r="E51" s="41">
        <f>SUMIF($C$5:$C$40,C51,$E$5:$E$40)</f>
        <v/>
      </c>
      <c r="F51" s="41">
        <f>SUMIF($C$5:$C$40,C51,$F$5:$F$40)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6" customWidth="1" min="4" max="4"/>
    <col width="12" customWidth="1" min="5" max="5"/>
    <col width="12" customWidth="1" min="6" max="6"/>
    <col width="60" customWidth="1" min="7" max="7"/>
  </cols>
  <sheetData>
    <row r="1">
      <c r="A1" s="6" t="inlineStr">
        <is>
          <t>공식 벤치마크 — 노사발전재단 일터혁신 실태조사(사업주·인사노무 담당자 응답)</t>
        </is>
      </c>
    </row>
    <row r="2">
      <c r="A2" s="7" t="inlineStr">
        <is>
          <t>2023 표 Ⅴ-8·Ⅴ-10 / 2024 표 Ⅵ-8·Ⅵ-10·Ⅳ-2.1~2.11 / 2025 표 Ⅵ-9·Ⅵ-11·Ⅲ-2.1~2.4. 2024(보정)=갈등 블록만 공표 발생률로 재계산.</t>
        </is>
      </c>
    </row>
    <row r="4">
      <c r="A4" s="42" t="inlineStr">
        <is>
          <t>① 파트별 표준화값(0~1)</t>
        </is>
      </c>
    </row>
    <row r="5">
      <c r="A5" s="11" t="inlineStr">
        <is>
          <t>키</t>
        </is>
      </c>
      <c r="B5" s="11" t="inlineStr">
        <is>
          <t>연도</t>
        </is>
      </c>
      <c r="C5" s="11" t="inlineStr">
        <is>
          <t>집단</t>
        </is>
      </c>
      <c r="D5" s="11" t="inlineStr">
        <is>
          <t>파트</t>
        </is>
      </c>
      <c r="E5" s="11" t="inlineStr">
        <is>
          <t>표준화값</t>
        </is>
      </c>
      <c r="F5" s="11" t="inlineStr">
        <is>
          <t>×공식배점</t>
        </is>
      </c>
      <c r="G5" s="11" t="inlineStr">
        <is>
          <t>비고</t>
        </is>
      </c>
    </row>
    <row r="6">
      <c r="A6" s="16" t="inlineStr">
        <is>
          <t>2023|수혜|P1</t>
        </is>
      </c>
      <c r="B6" s="16" t="inlineStr">
        <is>
          <t>2023</t>
        </is>
      </c>
      <c r="C6" s="16" t="inlineStr">
        <is>
          <t>수혜</t>
        </is>
      </c>
      <c r="D6" s="16" t="inlineStr">
        <is>
          <t>P1</t>
        </is>
      </c>
      <c r="E6" s="43" t="n">
        <v>0.7356</v>
      </c>
      <c r="F6" s="41">
        <f>E6*10</f>
        <v/>
      </c>
      <c r="G6" s="16" t="inlineStr"/>
    </row>
    <row r="7">
      <c r="A7" s="16" t="inlineStr">
        <is>
          <t>2023|수혜|P2</t>
        </is>
      </c>
      <c r="B7" s="16" t="inlineStr">
        <is>
          <t>2023</t>
        </is>
      </c>
      <c r="C7" s="16" t="inlineStr">
        <is>
          <t>수혜</t>
        </is>
      </c>
      <c r="D7" s="16" t="inlineStr">
        <is>
          <t>P2</t>
        </is>
      </c>
      <c r="E7" s="43" t="n">
        <v>0.7334000000000001</v>
      </c>
      <c r="F7" s="41">
        <f>E7*10</f>
        <v/>
      </c>
      <c r="G7" s="16" t="inlineStr"/>
    </row>
    <row r="8">
      <c r="A8" s="16" t="inlineStr">
        <is>
          <t>2023|수혜|P3</t>
        </is>
      </c>
      <c r="B8" s="16" t="inlineStr">
        <is>
          <t>2023</t>
        </is>
      </c>
      <c r="C8" s="16" t="inlineStr">
        <is>
          <t>수혜</t>
        </is>
      </c>
      <c r="D8" s="16" t="inlineStr">
        <is>
          <t>P3</t>
        </is>
      </c>
      <c r="E8" s="43" t="n">
        <v>0.3818</v>
      </c>
      <c r="F8" s="41">
        <f>E8*13</f>
        <v/>
      </c>
      <c r="G8" s="16" t="inlineStr"/>
    </row>
    <row r="9">
      <c r="A9" s="16" t="inlineStr">
        <is>
          <t>2023|수혜|P4</t>
        </is>
      </c>
      <c r="B9" s="16" t="inlineStr">
        <is>
          <t>2023</t>
        </is>
      </c>
      <c r="C9" s="16" t="inlineStr">
        <is>
          <t>수혜</t>
        </is>
      </c>
      <c r="D9" s="16" t="inlineStr">
        <is>
          <t>P4</t>
        </is>
      </c>
      <c r="E9" s="43" t="n">
        <v>0.9786</v>
      </c>
      <c r="F9" s="41">
        <f>E9*12</f>
        <v/>
      </c>
      <c r="G9" s="16" t="inlineStr"/>
    </row>
    <row r="10">
      <c r="A10" s="16" t="inlineStr">
        <is>
          <t>2023|수혜|P5</t>
        </is>
      </c>
      <c r="B10" s="16" t="inlineStr">
        <is>
          <t>2023</t>
        </is>
      </c>
      <c r="C10" s="16" t="inlineStr">
        <is>
          <t>수혜</t>
        </is>
      </c>
      <c r="D10" s="16" t="inlineStr">
        <is>
          <t>P5</t>
        </is>
      </c>
      <c r="E10" s="43" t="n">
        <v>0.7334000000000001</v>
      </c>
      <c r="F10" s="41">
        <f>E10*25</f>
        <v/>
      </c>
      <c r="G10" s="16" t="inlineStr"/>
    </row>
    <row r="11">
      <c r="A11" s="16" t="inlineStr">
        <is>
          <t>2023|수혜|P6</t>
        </is>
      </c>
      <c r="B11" s="16" t="inlineStr">
        <is>
          <t>2023</t>
        </is>
      </c>
      <c r="C11" s="16" t="inlineStr">
        <is>
          <t>수혜</t>
        </is>
      </c>
      <c r="D11" s="16" t="inlineStr">
        <is>
          <t>P6</t>
        </is>
      </c>
      <c r="E11" s="43" t="n">
        <v>0.7123</v>
      </c>
      <c r="F11" s="41">
        <f>E11*15</f>
        <v/>
      </c>
      <c r="G11" s="16" t="inlineStr"/>
    </row>
    <row r="12">
      <c r="A12" s="16" t="inlineStr">
        <is>
          <t>2023|수혜|P7</t>
        </is>
      </c>
      <c r="B12" s="16" t="inlineStr">
        <is>
          <t>2023</t>
        </is>
      </c>
      <c r="C12" s="16" t="inlineStr">
        <is>
          <t>수혜</t>
        </is>
      </c>
      <c r="D12" s="16" t="inlineStr">
        <is>
          <t>P7</t>
        </is>
      </c>
      <c r="E12" s="43" t="n">
        <v>0.6915</v>
      </c>
      <c r="F12" s="41">
        <f>E12*15</f>
        <v/>
      </c>
      <c r="G12" s="16" t="inlineStr"/>
    </row>
    <row r="13">
      <c r="A13" s="16" t="inlineStr">
        <is>
          <t>2023|일반|P1</t>
        </is>
      </c>
      <c r="B13" s="16" t="inlineStr">
        <is>
          <t>2023</t>
        </is>
      </c>
      <c r="C13" s="16" t="inlineStr">
        <is>
          <t>일반</t>
        </is>
      </c>
      <c r="D13" s="16" t="inlineStr">
        <is>
          <t>P1</t>
        </is>
      </c>
      <c r="E13" s="43" t="n">
        <v>0.701</v>
      </c>
      <c r="F13" s="41">
        <f>E13*10</f>
        <v/>
      </c>
      <c r="G13" s="16" t="inlineStr"/>
    </row>
    <row r="14">
      <c r="A14" s="16" t="inlineStr">
        <is>
          <t>2023|일반|P2</t>
        </is>
      </c>
      <c r="B14" s="16" t="inlineStr">
        <is>
          <t>2023</t>
        </is>
      </c>
      <c r="C14" s="16" t="inlineStr">
        <is>
          <t>일반</t>
        </is>
      </c>
      <c r="D14" s="16" t="inlineStr">
        <is>
          <t>P2</t>
        </is>
      </c>
      <c r="E14" s="43" t="n">
        <v>0.6705</v>
      </c>
      <c r="F14" s="41">
        <f>E14*10</f>
        <v/>
      </c>
      <c r="G14" s="16" t="inlineStr"/>
    </row>
    <row r="15">
      <c r="A15" s="16" t="inlineStr">
        <is>
          <t>2023|일반|P3</t>
        </is>
      </c>
      <c r="B15" s="16" t="inlineStr">
        <is>
          <t>2023</t>
        </is>
      </c>
      <c r="C15" s="16" t="inlineStr">
        <is>
          <t>일반</t>
        </is>
      </c>
      <c r="D15" s="16" t="inlineStr">
        <is>
          <t>P3</t>
        </is>
      </c>
      <c r="E15" s="43" t="n">
        <v>0.3515</v>
      </c>
      <c r="F15" s="41">
        <f>E15*13</f>
        <v/>
      </c>
      <c r="G15" s="16" t="inlineStr"/>
    </row>
    <row r="16">
      <c r="A16" s="16" t="inlineStr">
        <is>
          <t>2023|일반|P4</t>
        </is>
      </c>
      <c r="B16" s="16" t="inlineStr">
        <is>
          <t>2023</t>
        </is>
      </c>
      <c r="C16" s="16" t="inlineStr">
        <is>
          <t>일반</t>
        </is>
      </c>
      <c r="D16" s="16" t="inlineStr">
        <is>
          <t>P4</t>
        </is>
      </c>
      <c r="E16" s="43" t="n">
        <v>0.977</v>
      </c>
      <c r="F16" s="41">
        <f>E16*12</f>
        <v/>
      </c>
      <c r="G16" s="16" t="inlineStr"/>
    </row>
    <row r="17">
      <c r="A17" s="16" t="inlineStr">
        <is>
          <t>2023|일반|P5</t>
        </is>
      </c>
      <c r="B17" s="16" t="inlineStr">
        <is>
          <t>2023</t>
        </is>
      </c>
      <c r="C17" s="16" t="inlineStr">
        <is>
          <t>일반</t>
        </is>
      </c>
      <c r="D17" s="16" t="inlineStr">
        <is>
          <t>P5</t>
        </is>
      </c>
      <c r="E17" s="43" t="n">
        <v>0.6695</v>
      </c>
      <c r="F17" s="41">
        <f>E17*25</f>
        <v/>
      </c>
      <c r="G17" s="16" t="inlineStr"/>
    </row>
    <row r="18">
      <c r="A18" s="16" t="inlineStr">
        <is>
          <t>2023|일반|P6</t>
        </is>
      </c>
      <c r="B18" s="16" t="inlineStr">
        <is>
          <t>2023</t>
        </is>
      </c>
      <c r="C18" s="16" t="inlineStr">
        <is>
          <t>일반</t>
        </is>
      </c>
      <c r="D18" s="16" t="inlineStr">
        <is>
          <t>P6</t>
        </is>
      </c>
      <c r="E18" s="43" t="n">
        <v>0.6905</v>
      </c>
      <c r="F18" s="41">
        <f>E18*15</f>
        <v/>
      </c>
      <c r="G18" s="16" t="inlineStr"/>
    </row>
    <row r="19">
      <c r="A19" s="16" t="inlineStr">
        <is>
          <t>2023|일반|P7</t>
        </is>
      </c>
      <c r="B19" s="16" t="inlineStr">
        <is>
          <t>2023</t>
        </is>
      </c>
      <c r="C19" s="16" t="inlineStr">
        <is>
          <t>일반</t>
        </is>
      </c>
      <c r="D19" s="16" t="inlineStr">
        <is>
          <t>P7</t>
        </is>
      </c>
      <c r="E19" s="43" t="n">
        <v>0.6606</v>
      </c>
      <c r="F19" s="41">
        <f>E19*15</f>
        <v/>
      </c>
      <c r="G19" s="16" t="inlineStr"/>
    </row>
    <row r="20">
      <c r="A20" s="16" t="inlineStr">
        <is>
          <t>2024|수혜|P1</t>
        </is>
      </c>
      <c r="B20" s="16" t="inlineStr">
        <is>
          <t>2024</t>
        </is>
      </c>
      <c r="C20" s="16" t="inlineStr">
        <is>
          <t>수혜</t>
        </is>
      </c>
      <c r="D20" s="16" t="inlineStr">
        <is>
          <t>P1</t>
        </is>
      </c>
      <c r="E20" s="43" t="n">
        <v>0.7455000000000001</v>
      </c>
      <c r="F20" s="41">
        <f>E20*10</f>
        <v/>
      </c>
      <c r="G20" s="16" t="inlineStr"/>
    </row>
    <row r="21">
      <c r="A21" s="16" t="inlineStr">
        <is>
          <t>2024|수혜|P2</t>
        </is>
      </c>
      <c r="B21" s="16" t="inlineStr">
        <is>
          <t>2024</t>
        </is>
      </c>
      <c r="C21" s="16" t="inlineStr">
        <is>
          <t>수혜</t>
        </is>
      </c>
      <c r="D21" s="16" t="inlineStr">
        <is>
          <t>P2</t>
        </is>
      </c>
      <c r="E21" s="43" t="n">
        <v>0.7433999999999999</v>
      </c>
      <c r="F21" s="41">
        <f>E21*10</f>
        <v/>
      </c>
      <c r="G21" s="16" t="inlineStr"/>
    </row>
    <row r="22">
      <c r="A22" s="16" t="inlineStr">
        <is>
          <t>2024|수혜|P3</t>
        </is>
      </c>
      <c r="B22" s="16" t="inlineStr">
        <is>
          <t>2024</t>
        </is>
      </c>
      <c r="C22" s="16" t="inlineStr">
        <is>
          <t>수혜</t>
        </is>
      </c>
      <c r="D22" s="16" t="inlineStr">
        <is>
          <t>P3</t>
        </is>
      </c>
      <c r="E22" s="43" t="n">
        <v>0.3813</v>
      </c>
      <c r="F22" s="41">
        <f>E22*13</f>
        <v/>
      </c>
      <c r="G22" s="16" t="inlineStr"/>
    </row>
    <row r="23">
      <c r="A23" s="16" t="inlineStr">
        <is>
          <t>2024|수혜|P4</t>
        </is>
      </c>
      <c r="B23" s="16" t="inlineStr">
        <is>
          <t>2024</t>
        </is>
      </c>
      <c r="C23" s="16" t="inlineStr">
        <is>
          <t>수혜</t>
        </is>
      </c>
      <c r="D23" s="16" t="inlineStr">
        <is>
          <t>P4</t>
        </is>
      </c>
      <c r="E23" s="43" t="n">
        <v>0.6619</v>
      </c>
      <c r="F23" s="41">
        <f>E23*12</f>
        <v/>
      </c>
      <c r="G23" s="16" t="inlineStr">
        <is>
          <t>갈등 0.6619는 공표 발생률(평균 2.1%)과 맞지 않는 이상치</t>
        </is>
      </c>
    </row>
    <row r="24">
      <c r="A24" s="16" t="inlineStr">
        <is>
          <t>2024|수혜|P5</t>
        </is>
      </c>
      <c r="B24" s="16" t="inlineStr">
        <is>
          <t>2024</t>
        </is>
      </c>
      <c r="C24" s="16" t="inlineStr">
        <is>
          <t>수혜</t>
        </is>
      </c>
      <c r="D24" s="16" t="inlineStr">
        <is>
          <t>P5</t>
        </is>
      </c>
      <c r="E24" s="43" t="n">
        <v>0.6929999999999999</v>
      </c>
      <c r="F24" s="41">
        <f>E24*25</f>
        <v/>
      </c>
      <c r="G24" s="16" t="inlineStr"/>
    </row>
    <row r="25">
      <c r="A25" s="16" t="inlineStr">
        <is>
          <t>2024|수혜|P6</t>
        </is>
      </c>
      <c r="B25" s="16" t="inlineStr">
        <is>
          <t>2024</t>
        </is>
      </c>
      <c r="C25" s="16" t="inlineStr">
        <is>
          <t>수혜</t>
        </is>
      </c>
      <c r="D25" s="16" t="inlineStr">
        <is>
          <t>P6</t>
        </is>
      </c>
      <c r="E25" s="43" t="n">
        <v>0.7072000000000001</v>
      </c>
      <c r="F25" s="41">
        <f>E25*15</f>
        <v/>
      </c>
      <c r="G25" s="16" t="inlineStr"/>
    </row>
    <row r="26">
      <c r="A26" s="16" t="inlineStr">
        <is>
          <t>2024|수혜|P7</t>
        </is>
      </c>
      <c r="B26" s="16" t="inlineStr">
        <is>
          <t>2024</t>
        </is>
      </c>
      <c r="C26" s="16" t="inlineStr">
        <is>
          <t>수혜</t>
        </is>
      </c>
      <c r="D26" s="16" t="inlineStr">
        <is>
          <t>P7</t>
        </is>
      </c>
      <c r="E26" s="43" t="n">
        <v>0.6903</v>
      </c>
      <c r="F26" s="41">
        <f>E26*15</f>
        <v/>
      </c>
      <c r="G26" s="16" t="inlineStr"/>
    </row>
    <row r="27">
      <c r="A27" s="16" t="inlineStr">
        <is>
          <t>2024|일반|P1</t>
        </is>
      </c>
      <c r="B27" s="16" t="inlineStr">
        <is>
          <t>2024</t>
        </is>
      </c>
      <c r="C27" s="16" t="inlineStr">
        <is>
          <t>일반</t>
        </is>
      </c>
      <c r="D27" s="16" t="inlineStr">
        <is>
          <t>P1</t>
        </is>
      </c>
      <c r="E27" s="43" t="n">
        <v>0.721</v>
      </c>
      <c r="F27" s="41">
        <f>E27*10</f>
        <v/>
      </c>
      <c r="G27" s="16" t="inlineStr"/>
    </row>
    <row r="28">
      <c r="A28" s="16" t="inlineStr">
        <is>
          <t>2024|일반|P2</t>
        </is>
      </c>
      <c r="B28" s="16" t="inlineStr">
        <is>
          <t>2024</t>
        </is>
      </c>
      <c r="C28" s="16" t="inlineStr">
        <is>
          <t>일반</t>
        </is>
      </c>
      <c r="D28" s="16" t="inlineStr">
        <is>
          <t>P2</t>
        </is>
      </c>
      <c r="E28" s="43" t="n">
        <v>0.6862</v>
      </c>
      <c r="F28" s="41">
        <f>E28*10</f>
        <v/>
      </c>
      <c r="G28" s="16" t="inlineStr"/>
    </row>
    <row r="29">
      <c r="A29" s="16" t="inlineStr">
        <is>
          <t>2024|일반|P3</t>
        </is>
      </c>
      <c r="B29" s="16" t="inlineStr">
        <is>
          <t>2024</t>
        </is>
      </c>
      <c r="C29" s="16" t="inlineStr">
        <is>
          <t>일반</t>
        </is>
      </c>
      <c r="D29" s="16" t="inlineStr">
        <is>
          <t>P3</t>
        </is>
      </c>
      <c r="E29" s="43" t="n">
        <v>0.3011</v>
      </c>
      <c r="F29" s="41">
        <f>E29*13</f>
        <v/>
      </c>
      <c r="G29" s="16" t="inlineStr"/>
    </row>
    <row r="30">
      <c r="A30" s="16" t="inlineStr">
        <is>
          <t>2024|일반|P4</t>
        </is>
      </c>
      <c r="B30" s="16" t="inlineStr">
        <is>
          <t>2024</t>
        </is>
      </c>
      <c r="C30" s="16" t="inlineStr">
        <is>
          <t>일반</t>
        </is>
      </c>
      <c r="D30" s="16" t="inlineStr">
        <is>
          <t>P4</t>
        </is>
      </c>
      <c r="E30" s="43" t="n">
        <v>0.5087</v>
      </c>
      <c r="F30" s="41">
        <f>E30*12</f>
        <v/>
      </c>
      <c r="G30" s="16" t="inlineStr">
        <is>
          <t>갈등 0.5087은 공표 발생률(평균 2.6%)과 맞지 않는 이상치</t>
        </is>
      </c>
    </row>
    <row r="31">
      <c r="A31" s="16" t="inlineStr">
        <is>
          <t>2024|일반|P5</t>
        </is>
      </c>
      <c r="B31" s="16" t="inlineStr">
        <is>
          <t>2024</t>
        </is>
      </c>
      <c r="C31" s="16" t="inlineStr">
        <is>
          <t>일반</t>
        </is>
      </c>
      <c r="D31" s="16" t="inlineStr">
        <is>
          <t>P5</t>
        </is>
      </c>
      <c r="E31" s="43" t="n">
        <v>0.6721</v>
      </c>
      <c r="F31" s="41">
        <f>E31*25</f>
        <v/>
      </c>
      <c r="G31" s="16" t="inlineStr"/>
    </row>
    <row r="32">
      <c r="A32" s="16" t="inlineStr">
        <is>
          <t>2024|일반|P6</t>
        </is>
      </c>
      <c r="B32" s="16" t="inlineStr">
        <is>
          <t>2024</t>
        </is>
      </c>
      <c r="C32" s="16" t="inlineStr">
        <is>
          <t>일반</t>
        </is>
      </c>
      <c r="D32" s="16" t="inlineStr">
        <is>
          <t>P6</t>
        </is>
      </c>
      <c r="E32" s="43" t="n">
        <v>0.6973</v>
      </c>
      <c r="F32" s="41">
        <f>E32*15</f>
        <v/>
      </c>
      <c r="G32" s="16" t="inlineStr"/>
    </row>
    <row r="33">
      <c r="A33" s="16" t="inlineStr">
        <is>
          <t>2024|일반|P7</t>
        </is>
      </c>
      <c r="B33" s="16" t="inlineStr">
        <is>
          <t>2024</t>
        </is>
      </c>
      <c r="C33" s="16" t="inlineStr">
        <is>
          <t>일반</t>
        </is>
      </c>
      <c r="D33" s="16" t="inlineStr">
        <is>
          <t>P7</t>
        </is>
      </c>
      <c r="E33" s="43" t="n">
        <v>0.667</v>
      </c>
      <c r="F33" s="41">
        <f>E33*15</f>
        <v/>
      </c>
      <c r="G33" s="16" t="inlineStr"/>
    </row>
    <row r="34">
      <c r="A34" s="16" t="inlineStr">
        <is>
          <t>2025|수혜|P1</t>
        </is>
      </c>
      <c r="B34" s="16" t="inlineStr">
        <is>
          <t>2025</t>
        </is>
      </c>
      <c r="C34" s="16" t="inlineStr">
        <is>
          <t>수혜</t>
        </is>
      </c>
      <c r="D34" s="16" t="inlineStr">
        <is>
          <t>P1</t>
        </is>
      </c>
      <c r="E34" s="43" t="n">
        <v>0.6778999999999999</v>
      </c>
      <c r="F34" s="41">
        <f>E34*10</f>
        <v/>
      </c>
      <c r="G34" s="16" t="inlineStr">
        <is>
          <t>표 Ⅵ-9 수혜 세부값 5개가 2024값과 동일하게 기재(표준화값은 신규)</t>
        </is>
      </c>
    </row>
    <row r="35">
      <c r="A35" s="16" t="inlineStr">
        <is>
          <t>2025|수혜|P2</t>
        </is>
      </c>
      <c r="B35" s="16" t="inlineStr">
        <is>
          <t>2025</t>
        </is>
      </c>
      <c r="C35" s="16" t="inlineStr">
        <is>
          <t>수혜</t>
        </is>
      </c>
      <c r="D35" s="16" t="inlineStr">
        <is>
          <t>P2</t>
        </is>
      </c>
      <c r="E35" s="43" t="n">
        <v>0.6887</v>
      </c>
      <c r="F35" s="41">
        <f>E35*10</f>
        <v/>
      </c>
      <c r="G35" s="16" t="inlineStr">
        <is>
          <t>표 Ⅵ-9 수혜 세부값 5개가 2024값과 동일하게 기재(표준화값은 신규)</t>
        </is>
      </c>
    </row>
    <row r="36">
      <c r="A36" s="16" t="inlineStr">
        <is>
          <t>2025|수혜|P3</t>
        </is>
      </c>
      <c r="B36" s="16" t="inlineStr">
        <is>
          <t>2025</t>
        </is>
      </c>
      <c r="C36" s="16" t="inlineStr">
        <is>
          <t>수혜</t>
        </is>
      </c>
      <c r="D36" s="16" t="inlineStr">
        <is>
          <t>P3</t>
        </is>
      </c>
      <c r="E36" s="43" t="n">
        <v>0.3836</v>
      </c>
      <c r="F36" s="41">
        <f>E36*13</f>
        <v/>
      </c>
      <c r="G36" s="16" t="inlineStr">
        <is>
          <t>표 Ⅵ-9 수혜 세부값 5개가 2024값과 동일하게 기재(표준화값은 신규)</t>
        </is>
      </c>
    </row>
    <row r="37">
      <c r="A37" s="16" t="inlineStr">
        <is>
          <t>2025|수혜|P4</t>
        </is>
      </c>
      <c r="B37" s="16" t="inlineStr">
        <is>
          <t>2025</t>
        </is>
      </c>
      <c r="C37" s="16" t="inlineStr">
        <is>
          <t>수혜</t>
        </is>
      </c>
      <c r="D37" s="16" t="inlineStr">
        <is>
          <t>P4</t>
        </is>
      </c>
      <c r="E37" s="43" t="n">
        <v>0.979</v>
      </c>
      <c r="F37" s="41">
        <f>E37*12</f>
        <v/>
      </c>
      <c r="G37" s="16" t="inlineStr">
        <is>
          <t>표 Ⅵ-9 수혜 세부값 5개가 2024값과 동일하게 기재(표준화값은 신규)</t>
        </is>
      </c>
    </row>
    <row r="38">
      <c r="A38" s="16" t="inlineStr">
        <is>
          <t>2025|수혜|P5</t>
        </is>
      </c>
      <c r="B38" s="16" t="inlineStr">
        <is>
          <t>2025</t>
        </is>
      </c>
      <c r="C38" s="16" t="inlineStr">
        <is>
          <t>수혜</t>
        </is>
      </c>
      <c r="D38" s="16" t="inlineStr">
        <is>
          <t>P5</t>
        </is>
      </c>
      <c r="E38" s="43" t="n">
        <v>0.6302</v>
      </c>
      <c r="F38" s="41">
        <f>E38*25</f>
        <v/>
      </c>
      <c r="G38" s="16" t="inlineStr">
        <is>
          <t>표 Ⅵ-9 수혜 세부값 5개가 2024값과 동일하게 기재(표준화값은 신규)</t>
        </is>
      </c>
    </row>
    <row r="39">
      <c r="A39" s="16" t="inlineStr">
        <is>
          <t>2025|수혜|P6</t>
        </is>
      </c>
      <c r="B39" s="16" t="inlineStr">
        <is>
          <t>2025</t>
        </is>
      </c>
      <c r="C39" s="16" t="inlineStr">
        <is>
          <t>수혜</t>
        </is>
      </c>
      <c r="D39" s="16" t="inlineStr">
        <is>
          <t>P6</t>
        </is>
      </c>
      <c r="E39" s="43" t="n">
        <v>0.6788</v>
      </c>
      <c r="F39" s="41">
        <f>E39*15</f>
        <v/>
      </c>
      <c r="G39" s="16" t="inlineStr">
        <is>
          <t>표 Ⅵ-9 수혜 세부값 5개가 2024값과 동일하게 기재(표준화값은 신규)</t>
        </is>
      </c>
    </row>
    <row r="40">
      <c r="A40" s="16" t="inlineStr">
        <is>
          <t>2025|수혜|P7</t>
        </is>
      </c>
      <c r="B40" s="16" t="inlineStr">
        <is>
          <t>2025</t>
        </is>
      </c>
      <c r="C40" s="16" t="inlineStr">
        <is>
          <t>수혜</t>
        </is>
      </c>
      <c r="D40" s="16" t="inlineStr">
        <is>
          <t>P7</t>
        </is>
      </c>
      <c r="E40" s="43" t="n">
        <v>0.628</v>
      </c>
      <c r="F40" s="41">
        <f>E40*15</f>
        <v/>
      </c>
      <c r="G40" s="16" t="inlineStr">
        <is>
          <t>표 Ⅵ-9 수혜 세부값 5개가 2024값과 동일하게 기재(표준화값은 신규)</t>
        </is>
      </c>
    </row>
    <row r="41">
      <c r="A41" s="16" t="inlineStr">
        <is>
          <t>2025|일반|P1</t>
        </is>
      </c>
      <c r="B41" s="16" t="inlineStr">
        <is>
          <t>2025</t>
        </is>
      </c>
      <c r="C41" s="16" t="inlineStr">
        <is>
          <t>일반</t>
        </is>
      </c>
      <c r="D41" s="16" t="inlineStr">
        <is>
          <t>P1</t>
        </is>
      </c>
      <c r="E41" s="43" t="n">
        <v>0.634</v>
      </c>
      <c r="F41" s="41">
        <f>E41*10</f>
        <v/>
      </c>
      <c r="G41" s="16" t="inlineStr"/>
    </row>
    <row r="42">
      <c r="A42" s="16" t="inlineStr">
        <is>
          <t>2025|일반|P2</t>
        </is>
      </c>
      <c r="B42" s="16" t="inlineStr">
        <is>
          <t>2025</t>
        </is>
      </c>
      <c r="C42" s="16" t="inlineStr">
        <is>
          <t>일반</t>
        </is>
      </c>
      <c r="D42" s="16" t="inlineStr">
        <is>
          <t>P2</t>
        </is>
      </c>
      <c r="E42" s="43" t="n">
        <v>0.5918</v>
      </c>
      <c r="F42" s="41">
        <f>E42*10</f>
        <v/>
      </c>
      <c r="G42" s="16" t="inlineStr"/>
    </row>
    <row r="43">
      <c r="A43" s="16" t="inlineStr">
        <is>
          <t>2025|일반|P3</t>
        </is>
      </c>
      <c r="B43" s="16" t="inlineStr">
        <is>
          <t>2025</t>
        </is>
      </c>
      <c r="C43" s="16" t="inlineStr">
        <is>
          <t>일반</t>
        </is>
      </c>
      <c r="D43" s="16" t="inlineStr">
        <is>
          <t>P3</t>
        </is>
      </c>
      <c r="E43" s="43" t="n">
        <v>0.2845</v>
      </c>
      <c r="F43" s="41">
        <f>E43*13</f>
        <v/>
      </c>
      <c r="G43" s="16" t="inlineStr"/>
    </row>
    <row r="44">
      <c r="A44" s="16" t="inlineStr">
        <is>
          <t>2025|일반|P4</t>
        </is>
      </c>
      <c r="B44" s="16" t="inlineStr">
        <is>
          <t>2025</t>
        </is>
      </c>
      <c r="C44" s="16" t="inlineStr">
        <is>
          <t>일반</t>
        </is>
      </c>
      <c r="D44" s="16" t="inlineStr">
        <is>
          <t>P4</t>
        </is>
      </c>
      <c r="E44" s="43" t="n">
        <v>0.9808</v>
      </c>
      <c r="F44" s="41">
        <f>E44*12</f>
        <v/>
      </c>
      <c r="G44" s="16" t="inlineStr"/>
    </row>
    <row r="45">
      <c r="A45" s="16" t="inlineStr">
        <is>
          <t>2025|일반|P5</t>
        </is>
      </c>
      <c r="B45" s="16" t="inlineStr">
        <is>
          <t>2025</t>
        </is>
      </c>
      <c r="C45" s="16" t="inlineStr">
        <is>
          <t>일반</t>
        </is>
      </c>
      <c r="D45" s="16" t="inlineStr">
        <is>
          <t>P5</t>
        </is>
      </c>
      <c r="E45" s="43" t="n">
        <v>0.5866</v>
      </c>
      <c r="F45" s="41">
        <f>E45*25</f>
        <v/>
      </c>
      <c r="G45" s="16" t="inlineStr"/>
    </row>
    <row r="46">
      <c r="A46" s="16" t="inlineStr">
        <is>
          <t>2025|일반|P6</t>
        </is>
      </c>
      <c r="B46" s="16" t="inlineStr">
        <is>
          <t>2025</t>
        </is>
      </c>
      <c r="C46" s="16" t="inlineStr">
        <is>
          <t>일반</t>
        </is>
      </c>
      <c r="D46" s="16" t="inlineStr">
        <is>
          <t>P6</t>
        </is>
      </c>
      <c r="E46" s="43" t="n">
        <v>0.6084000000000001</v>
      </c>
      <c r="F46" s="41">
        <f>E46*15</f>
        <v/>
      </c>
      <c r="G46" s="16" t="inlineStr"/>
    </row>
    <row r="47">
      <c r="A47" s="16" t="inlineStr">
        <is>
          <t>2025|일반|P7</t>
        </is>
      </c>
      <c r="B47" s="16" t="inlineStr">
        <is>
          <t>2025</t>
        </is>
      </c>
      <c r="C47" s="16" t="inlineStr">
        <is>
          <t>일반</t>
        </is>
      </c>
      <c r="D47" s="16" t="inlineStr">
        <is>
          <t>P7</t>
        </is>
      </c>
      <c r="E47" s="43" t="n">
        <v>0.5724</v>
      </c>
      <c r="F47" s="41">
        <f>E47*15</f>
        <v/>
      </c>
      <c r="G47" s="16" t="inlineStr"/>
    </row>
    <row r="48">
      <c r="A48" s="16" t="inlineStr">
        <is>
          <t>2024(보정)|수혜|P1</t>
        </is>
      </c>
      <c r="B48" s="16" t="inlineStr">
        <is>
          <t>2024(보정)</t>
        </is>
      </c>
      <c r="C48" s="16" t="inlineStr">
        <is>
          <t>수혜</t>
        </is>
      </c>
      <c r="D48" s="16" t="inlineStr">
        <is>
          <t>P1</t>
        </is>
      </c>
      <c r="E48" s="43" t="n">
        <v>0.7455000000000001</v>
      </c>
      <c r="F48" s="41">
        <f>E48*10</f>
        <v/>
      </c>
      <c r="G48" s="16" t="inlineStr"/>
    </row>
    <row r="49">
      <c r="A49" s="16" t="inlineStr">
        <is>
          <t>2024(보정)|수혜|P2</t>
        </is>
      </c>
      <c r="B49" s="16" t="inlineStr">
        <is>
          <t>2024(보정)</t>
        </is>
      </c>
      <c r="C49" s="16" t="inlineStr">
        <is>
          <t>수혜</t>
        </is>
      </c>
      <c r="D49" s="16" t="inlineStr">
        <is>
          <t>P2</t>
        </is>
      </c>
      <c r="E49" s="43" t="n">
        <v>0.7433999999999999</v>
      </c>
      <c r="F49" s="41">
        <f>E49*10</f>
        <v/>
      </c>
      <c r="G49" s="16" t="inlineStr"/>
    </row>
    <row r="50">
      <c r="A50" s="16" t="inlineStr">
        <is>
          <t>2024(보정)|수혜|P3</t>
        </is>
      </c>
      <c r="B50" s="16" t="inlineStr">
        <is>
          <t>2024(보정)</t>
        </is>
      </c>
      <c r="C50" s="16" t="inlineStr">
        <is>
          <t>수혜</t>
        </is>
      </c>
      <c r="D50" s="16" t="inlineStr">
        <is>
          <t>P3</t>
        </is>
      </c>
      <c r="E50" s="43" t="n">
        <v>0.3813</v>
      </c>
      <c r="F50" s="41">
        <f>E50*13</f>
        <v/>
      </c>
      <c r="G50" s="16" t="inlineStr"/>
    </row>
    <row r="51">
      <c r="A51" s="16" t="inlineStr">
        <is>
          <t>2024(보정)|수혜|P4</t>
        </is>
      </c>
      <c r="B51" s="16" t="inlineStr">
        <is>
          <t>2024(보정)</t>
        </is>
      </c>
      <c r="C51" s="16" t="inlineStr">
        <is>
          <t>수혜</t>
        </is>
      </c>
      <c r="D51" s="16" t="inlineStr">
        <is>
          <t>P4</t>
        </is>
      </c>
      <c r="E51" s="43" t="n">
        <v>0.979</v>
      </c>
      <c r="F51" s="41">
        <f>E51*12</f>
        <v/>
      </c>
      <c r="G51" s="16" t="inlineStr">
        <is>
          <t>갈등만 1-평균발생률로 대체</t>
        </is>
      </c>
    </row>
    <row r="52">
      <c r="A52" s="16" t="inlineStr">
        <is>
          <t>2024(보정)|수혜|P5</t>
        </is>
      </c>
      <c r="B52" s="16" t="inlineStr">
        <is>
          <t>2024(보정)</t>
        </is>
      </c>
      <c r="C52" s="16" t="inlineStr">
        <is>
          <t>수혜</t>
        </is>
      </c>
      <c r="D52" s="16" t="inlineStr">
        <is>
          <t>P5</t>
        </is>
      </c>
      <c r="E52" s="43" t="n">
        <v>0.6929999999999999</v>
      </c>
      <c r="F52" s="41">
        <f>E52*25</f>
        <v/>
      </c>
      <c r="G52" s="16" t="inlineStr"/>
    </row>
    <row r="53">
      <c r="A53" s="16" t="inlineStr">
        <is>
          <t>2024(보정)|수혜|P6</t>
        </is>
      </c>
      <c r="B53" s="16" t="inlineStr">
        <is>
          <t>2024(보정)</t>
        </is>
      </c>
      <c r="C53" s="16" t="inlineStr">
        <is>
          <t>수혜</t>
        </is>
      </c>
      <c r="D53" s="16" t="inlineStr">
        <is>
          <t>P6</t>
        </is>
      </c>
      <c r="E53" s="43" t="n">
        <v>0.7072000000000001</v>
      </c>
      <c r="F53" s="41">
        <f>E53*15</f>
        <v/>
      </c>
      <c r="G53" s="16" t="inlineStr"/>
    </row>
    <row r="54">
      <c r="A54" s="16" t="inlineStr">
        <is>
          <t>2024(보정)|수혜|P7</t>
        </is>
      </c>
      <c r="B54" s="16" t="inlineStr">
        <is>
          <t>2024(보정)</t>
        </is>
      </c>
      <c r="C54" s="16" t="inlineStr">
        <is>
          <t>수혜</t>
        </is>
      </c>
      <c r="D54" s="16" t="inlineStr">
        <is>
          <t>P7</t>
        </is>
      </c>
      <c r="E54" s="43" t="n">
        <v>0.6903</v>
      </c>
      <c r="F54" s="41">
        <f>E54*15</f>
        <v/>
      </c>
      <c r="G54" s="16" t="inlineStr"/>
    </row>
    <row r="55">
      <c r="A55" s="16" t="inlineStr">
        <is>
          <t>2024(보정)|일반|P1</t>
        </is>
      </c>
      <c r="B55" s="16" t="inlineStr">
        <is>
          <t>2024(보정)</t>
        </is>
      </c>
      <c r="C55" s="16" t="inlineStr">
        <is>
          <t>일반</t>
        </is>
      </c>
      <c r="D55" s="16" t="inlineStr">
        <is>
          <t>P1</t>
        </is>
      </c>
      <c r="E55" s="43" t="n">
        <v>0.721</v>
      </c>
      <c r="F55" s="41">
        <f>E55*10</f>
        <v/>
      </c>
      <c r="G55" s="16" t="inlineStr"/>
    </row>
    <row r="56">
      <c r="A56" s="16" t="inlineStr">
        <is>
          <t>2024(보정)|일반|P2</t>
        </is>
      </c>
      <c r="B56" s="16" t="inlineStr">
        <is>
          <t>2024(보정)</t>
        </is>
      </c>
      <c r="C56" s="16" t="inlineStr">
        <is>
          <t>일반</t>
        </is>
      </c>
      <c r="D56" s="16" t="inlineStr">
        <is>
          <t>P2</t>
        </is>
      </c>
      <c r="E56" s="43" t="n">
        <v>0.6862</v>
      </c>
      <c r="F56" s="41">
        <f>E56*10</f>
        <v/>
      </c>
      <c r="G56" s="16" t="inlineStr"/>
    </row>
    <row r="57">
      <c r="A57" s="16" t="inlineStr">
        <is>
          <t>2024(보정)|일반|P3</t>
        </is>
      </c>
      <c r="B57" s="16" t="inlineStr">
        <is>
          <t>2024(보정)</t>
        </is>
      </c>
      <c r="C57" s="16" t="inlineStr">
        <is>
          <t>일반</t>
        </is>
      </c>
      <c r="D57" s="16" t="inlineStr">
        <is>
          <t>P3</t>
        </is>
      </c>
      <c r="E57" s="43" t="n">
        <v>0.3011</v>
      </c>
      <c r="F57" s="41">
        <f>E57*13</f>
        <v/>
      </c>
      <c r="G57" s="16" t="inlineStr"/>
    </row>
    <row r="58">
      <c r="A58" s="16" t="inlineStr">
        <is>
          <t>2024(보정)|일반|P4</t>
        </is>
      </c>
      <c r="B58" s="16" t="inlineStr">
        <is>
          <t>2024(보정)</t>
        </is>
      </c>
      <c r="C58" s="16" t="inlineStr">
        <is>
          <t>일반</t>
        </is>
      </c>
      <c r="D58" s="16" t="inlineStr">
        <is>
          <t>P4</t>
        </is>
      </c>
      <c r="E58" s="43" t="n">
        <v>0.9745</v>
      </c>
      <c r="F58" s="41">
        <f>E58*12</f>
        <v/>
      </c>
      <c r="G58" s="16" t="inlineStr">
        <is>
          <t>갈등만 1-평균발생률로 대체</t>
        </is>
      </c>
    </row>
    <row r="59">
      <c r="A59" s="16" t="inlineStr">
        <is>
          <t>2024(보정)|일반|P5</t>
        </is>
      </c>
      <c r="B59" s="16" t="inlineStr">
        <is>
          <t>2024(보정)</t>
        </is>
      </c>
      <c r="C59" s="16" t="inlineStr">
        <is>
          <t>일반</t>
        </is>
      </c>
      <c r="D59" s="16" t="inlineStr">
        <is>
          <t>P5</t>
        </is>
      </c>
      <c r="E59" s="43" t="n">
        <v>0.6721</v>
      </c>
      <c r="F59" s="41">
        <f>E59*25</f>
        <v/>
      </c>
      <c r="G59" s="16" t="inlineStr"/>
    </row>
    <row r="60">
      <c r="A60" s="16" t="inlineStr">
        <is>
          <t>2024(보정)|일반|P6</t>
        </is>
      </c>
      <c r="B60" s="16" t="inlineStr">
        <is>
          <t>2024(보정)</t>
        </is>
      </c>
      <c r="C60" s="16" t="inlineStr">
        <is>
          <t>일반</t>
        </is>
      </c>
      <c r="D60" s="16" t="inlineStr">
        <is>
          <t>P6</t>
        </is>
      </c>
      <c r="E60" s="43" t="n">
        <v>0.6973</v>
      </c>
      <c r="F60" s="41">
        <f>E60*15</f>
        <v/>
      </c>
      <c r="G60" s="16" t="inlineStr"/>
    </row>
    <row r="61">
      <c r="A61" s="16" t="inlineStr">
        <is>
          <t>2024(보정)|일반|P7</t>
        </is>
      </c>
      <c r="B61" s="16" t="inlineStr">
        <is>
          <t>2024(보정)</t>
        </is>
      </c>
      <c r="C61" s="16" t="inlineStr">
        <is>
          <t>일반</t>
        </is>
      </c>
      <c r="D61" s="16" t="inlineStr">
        <is>
          <t>P7</t>
        </is>
      </c>
      <c r="E61" s="43" t="n">
        <v>0.667</v>
      </c>
      <c r="F61" s="41">
        <f>E61*15</f>
        <v/>
      </c>
      <c r="G61" s="16" t="inlineStr"/>
    </row>
    <row r="63">
      <c r="A63" s="42" t="inlineStr">
        <is>
          <t>② 노사관계 영역 공표 총점(100점)</t>
        </is>
      </c>
    </row>
    <row r="64">
      <c r="A64" s="11" t="inlineStr">
        <is>
          <t>키</t>
        </is>
      </c>
      <c r="B64" s="11" t="inlineStr">
        <is>
          <t>연도</t>
        </is>
      </c>
      <c r="C64" s="11" t="inlineStr">
        <is>
          <t>집단</t>
        </is>
      </c>
      <c r="D64" s="11" t="inlineStr">
        <is>
          <t>구분</t>
        </is>
      </c>
      <c r="E64" s="11" t="inlineStr">
        <is>
          <t>총점</t>
        </is>
      </c>
      <c r="F64" s="11" t="inlineStr"/>
      <c r="G64" s="11" t="inlineStr">
        <is>
          <t>비고</t>
        </is>
      </c>
    </row>
    <row r="65">
      <c r="A65" s="16" t="inlineStr">
        <is>
          <t>2023|수혜|전체</t>
        </is>
      </c>
      <c r="B65" s="16" t="inlineStr">
        <is>
          <t>2023</t>
        </is>
      </c>
      <c r="C65" s="16" t="inlineStr">
        <is>
          <t>수혜</t>
        </is>
      </c>
      <c r="D65" s="16" t="inlineStr">
        <is>
          <t>전체</t>
        </is>
      </c>
      <c r="E65" s="16" t="n">
        <v>70.79000000000001</v>
      </c>
      <c r="F65" s="16" t="inlineStr"/>
      <c r="G65" s="16" t="inlineStr"/>
    </row>
    <row r="66">
      <c r="A66" s="16" t="inlineStr">
        <is>
          <t>2023|수혜|50인 미만</t>
        </is>
      </c>
      <c r="B66" s="16" t="inlineStr">
        <is>
          <t>2023</t>
        </is>
      </c>
      <c r="C66" s="16" t="inlineStr">
        <is>
          <t>수혜</t>
        </is>
      </c>
      <c r="D66" s="16" t="inlineStr">
        <is>
          <t>50인 미만</t>
        </is>
      </c>
      <c r="E66" s="16" t="n">
        <v>69.58</v>
      </c>
      <c r="F66" s="16" t="inlineStr"/>
      <c r="G66" s="16" t="inlineStr"/>
    </row>
    <row r="67">
      <c r="A67" s="16" t="inlineStr">
        <is>
          <t>2023|수혜|50~100인 미만</t>
        </is>
      </c>
      <c r="B67" s="16" t="inlineStr">
        <is>
          <t>2023</t>
        </is>
      </c>
      <c r="C67" s="16" t="inlineStr">
        <is>
          <t>수혜</t>
        </is>
      </c>
      <c r="D67" s="16" t="inlineStr">
        <is>
          <t>50~100인 미만</t>
        </is>
      </c>
      <c r="E67" s="16" t="n">
        <v>68.70999999999999</v>
      </c>
      <c r="F67" s="16" t="inlineStr"/>
      <c r="G67" s="16" t="inlineStr"/>
    </row>
    <row r="68">
      <c r="A68" s="16" t="inlineStr">
        <is>
          <t>2023|수혜|100~300인 미만</t>
        </is>
      </c>
      <c r="B68" s="16" t="inlineStr">
        <is>
          <t>2023</t>
        </is>
      </c>
      <c r="C68" s="16" t="inlineStr">
        <is>
          <t>수혜</t>
        </is>
      </c>
      <c r="D68" s="16" t="inlineStr">
        <is>
          <t>100~300인 미만</t>
        </is>
      </c>
      <c r="E68" s="16" t="n">
        <v>70.79000000000001</v>
      </c>
      <c r="F68" s="16" t="inlineStr"/>
      <c r="G68" s="16" t="inlineStr"/>
    </row>
    <row r="69">
      <c r="A69" s="16" t="inlineStr">
        <is>
          <t>2023|수혜|300인 이상</t>
        </is>
      </c>
      <c r="B69" s="16" t="inlineStr">
        <is>
          <t>2023</t>
        </is>
      </c>
      <c r="C69" s="16" t="inlineStr">
        <is>
          <t>수혜</t>
        </is>
      </c>
      <c r="D69" s="16" t="inlineStr">
        <is>
          <t>300인 이상</t>
        </is>
      </c>
      <c r="E69" s="16" t="n">
        <v>72.45999999999999</v>
      </c>
      <c r="F69" s="16" t="inlineStr"/>
      <c r="G69" s="16" t="inlineStr"/>
    </row>
    <row r="70">
      <c r="A70" s="16" t="inlineStr">
        <is>
          <t>2023|수혜|제조업</t>
        </is>
      </c>
      <c r="B70" s="16" t="inlineStr">
        <is>
          <t>2023</t>
        </is>
      </c>
      <c r="C70" s="16" t="inlineStr">
        <is>
          <t>수혜</t>
        </is>
      </c>
      <c r="D70" s="16" t="inlineStr">
        <is>
          <t>제조업</t>
        </is>
      </c>
      <c r="E70" s="16" t="n">
        <v>69.15000000000001</v>
      </c>
      <c r="F70" s="16" t="inlineStr"/>
      <c r="G70" s="16" t="inlineStr"/>
    </row>
    <row r="71">
      <c r="A71" s="16" t="inlineStr">
        <is>
          <t>2023|수혜|일반서비스</t>
        </is>
      </c>
      <c r="B71" s="16" t="inlineStr">
        <is>
          <t>2023</t>
        </is>
      </c>
      <c r="C71" s="16" t="inlineStr">
        <is>
          <t>수혜</t>
        </is>
      </c>
      <c r="D71" s="16" t="inlineStr">
        <is>
          <t>일반서비스</t>
        </is>
      </c>
      <c r="E71" s="16" t="n">
        <v>70.12</v>
      </c>
      <c r="F71" s="16" t="inlineStr"/>
      <c r="G71" s="16" t="inlineStr"/>
    </row>
    <row r="72">
      <c r="A72" s="16" t="inlineStr">
        <is>
          <t>2023|수혜|공공행정서비스</t>
        </is>
      </c>
      <c r="B72" s="16" t="inlineStr">
        <is>
          <t>2023</t>
        </is>
      </c>
      <c r="C72" s="16" t="inlineStr">
        <is>
          <t>수혜</t>
        </is>
      </c>
      <c r="D72" s="16" t="inlineStr">
        <is>
          <t>공공행정서비스</t>
        </is>
      </c>
      <c r="E72" s="16" t="n">
        <v>74.19</v>
      </c>
      <c r="F72" s="16" t="inlineStr"/>
      <c r="G72" s="16" t="inlineStr"/>
    </row>
    <row r="73">
      <c r="A73" s="16" t="inlineStr">
        <is>
          <t>2023|수혜|금융서비스</t>
        </is>
      </c>
      <c r="B73" s="16" t="inlineStr">
        <is>
          <t>2023</t>
        </is>
      </c>
      <c r="C73" s="16" t="inlineStr">
        <is>
          <t>수혜</t>
        </is>
      </c>
      <c r="D73" s="16" t="inlineStr">
        <is>
          <t>금융서비스</t>
        </is>
      </c>
      <c r="E73" s="16" t="n">
        <v>71.19</v>
      </c>
      <c r="F73" s="16" t="inlineStr"/>
      <c r="G73" s="16" t="inlineStr">
        <is>
          <t>표본 10개 미만, 참고만</t>
        </is>
      </c>
    </row>
    <row r="74">
      <c r="A74" s="16" t="inlineStr">
        <is>
          <t>2023|수혜|기타서비스</t>
        </is>
      </c>
      <c r="B74" s="16" t="inlineStr">
        <is>
          <t>2023</t>
        </is>
      </c>
      <c r="C74" s="16" t="inlineStr">
        <is>
          <t>수혜</t>
        </is>
      </c>
      <c r="D74" s="16" t="inlineStr">
        <is>
          <t>기타서비스</t>
        </is>
      </c>
      <c r="E74" s="16" t="n">
        <v>68.53</v>
      </c>
      <c r="F74" s="16" t="inlineStr"/>
      <c r="G74" s="16" t="inlineStr">
        <is>
          <t>표본 10개 미만, 참고만</t>
        </is>
      </c>
    </row>
    <row r="75">
      <c r="A75" s="16" t="inlineStr">
        <is>
          <t>2023|수혜|노조 있음</t>
        </is>
      </c>
      <c r="B75" s="16" t="inlineStr">
        <is>
          <t>2023</t>
        </is>
      </c>
      <c r="C75" s="16" t="inlineStr">
        <is>
          <t>수혜</t>
        </is>
      </c>
      <c r="D75" s="16" t="inlineStr">
        <is>
          <t>노조 있음</t>
        </is>
      </c>
      <c r="E75" s="16" t="n">
        <v>71.79000000000001</v>
      </c>
      <c r="F75" s="16" t="inlineStr"/>
      <c r="G75" s="16" t="inlineStr"/>
    </row>
    <row r="76">
      <c r="A76" s="16" t="inlineStr">
        <is>
          <t>2023|수혜|노조 없음</t>
        </is>
      </c>
      <c r="B76" s="16" t="inlineStr">
        <is>
          <t>2023</t>
        </is>
      </c>
      <c r="C76" s="16" t="inlineStr">
        <is>
          <t>수혜</t>
        </is>
      </c>
      <c r="D76" s="16" t="inlineStr">
        <is>
          <t>노조 없음</t>
        </is>
      </c>
      <c r="E76" s="16" t="n">
        <v>69.56999999999999</v>
      </c>
      <c r="F76" s="16" t="inlineStr"/>
      <c r="G76" s="16" t="inlineStr"/>
    </row>
    <row r="77">
      <c r="A77" s="16" t="inlineStr">
        <is>
          <t>2023|일반|전체</t>
        </is>
      </c>
      <c r="B77" s="16" t="inlineStr">
        <is>
          <t>2023</t>
        </is>
      </c>
      <c r="C77" s="16" t="inlineStr">
        <is>
          <t>일반</t>
        </is>
      </c>
      <c r="D77" s="16" t="inlineStr">
        <is>
          <t>전체</t>
        </is>
      </c>
      <c r="E77" s="16" t="n">
        <v>67.01000000000001</v>
      </c>
      <c r="F77" s="16" t="inlineStr"/>
      <c r="G77" s="16" t="inlineStr"/>
    </row>
    <row r="78">
      <c r="A78" s="16" t="inlineStr">
        <is>
          <t>2023|일반|50인 미만</t>
        </is>
      </c>
      <c r="B78" s="16" t="inlineStr">
        <is>
          <t>2023</t>
        </is>
      </c>
      <c r="C78" s="16" t="inlineStr">
        <is>
          <t>일반</t>
        </is>
      </c>
      <c r="D78" s="16" t="inlineStr">
        <is>
          <t>50인 미만</t>
        </is>
      </c>
      <c r="E78" s="16" t="n">
        <v>66.51000000000001</v>
      </c>
      <c r="F78" s="16" t="inlineStr"/>
      <c r="G78" s="16" t="inlineStr"/>
    </row>
    <row r="79">
      <c r="A79" s="16" t="inlineStr">
        <is>
          <t>2023|일반|50~100인 미만</t>
        </is>
      </c>
      <c r="B79" s="16" t="inlineStr">
        <is>
          <t>2023</t>
        </is>
      </c>
      <c r="C79" s="16" t="inlineStr">
        <is>
          <t>일반</t>
        </is>
      </c>
      <c r="D79" s="16" t="inlineStr">
        <is>
          <t>50~100인 미만</t>
        </is>
      </c>
      <c r="E79" s="16" t="n">
        <v>67.09999999999999</v>
      </c>
      <c r="F79" s="16" t="inlineStr"/>
      <c r="G79" s="16" t="inlineStr"/>
    </row>
    <row r="80">
      <c r="A80" s="16" t="inlineStr">
        <is>
          <t>2023|일반|100~300인 미만</t>
        </is>
      </c>
      <c r="B80" s="16" t="inlineStr">
        <is>
          <t>2023</t>
        </is>
      </c>
      <c r="C80" s="16" t="inlineStr">
        <is>
          <t>일반</t>
        </is>
      </c>
      <c r="D80" s="16" t="inlineStr">
        <is>
          <t>100~300인 미만</t>
        </is>
      </c>
      <c r="E80" s="16" t="n">
        <v>66.75</v>
      </c>
      <c r="F80" s="16" t="inlineStr"/>
      <c r="G80" s="16" t="inlineStr"/>
    </row>
    <row r="81">
      <c r="A81" s="16" t="inlineStr">
        <is>
          <t>2023|일반|300인 이상</t>
        </is>
      </c>
      <c r="B81" s="16" t="inlineStr">
        <is>
          <t>2023</t>
        </is>
      </c>
      <c r="C81" s="16" t="inlineStr">
        <is>
          <t>일반</t>
        </is>
      </c>
      <c r="D81" s="16" t="inlineStr">
        <is>
          <t>300인 이상</t>
        </is>
      </c>
      <c r="E81" s="16" t="n">
        <v>69.84</v>
      </c>
      <c r="F81" s="16" t="inlineStr"/>
      <c r="G81" s="16" t="inlineStr"/>
    </row>
    <row r="82">
      <c r="A82" s="16" t="inlineStr">
        <is>
          <t>2023|일반|제조업</t>
        </is>
      </c>
      <c r="B82" s="16" t="inlineStr">
        <is>
          <t>2023</t>
        </is>
      </c>
      <c r="C82" s="16" t="inlineStr">
        <is>
          <t>일반</t>
        </is>
      </c>
      <c r="D82" s="16" t="inlineStr">
        <is>
          <t>제조업</t>
        </is>
      </c>
      <c r="E82" s="16" t="n">
        <v>65.68000000000001</v>
      </c>
      <c r="F82" s="16" t="inlineStr"/>
      <c r="G82" s="16" t="inlineStr"/>
    </row>
    <row r="83">
      <c r="A83" s="16" t="inlineStr">
        <is>
          <t>2023|일반|일반서비스</t>
        </is>
      </c>
      <c r="B83" s="16" t="inlineStr">
        <is>
          <t>2023</t>
        </is>
      </c>
      <c r="C83" s="16" t="inlineStr">
        <is>
          <t>일반</t>
        </is>
      </c>
      <c r="D83" s="16" t="inlineStr">
        <is>
          <t>일반서비스</t>
        </is>
      </c>
      <c r="E83" s="16" t="n">
        <v>68.42</v>
      </c>
      <c r="F83" s="16" t="inlineStr"/>
      <c r="G83" s="16" t="inlineStr"/>
    </row>
    <row r="84">
      <c r="A84" s="16" t="inlineStr">
        <is>
          <t>2023|일반|공공행정서비스</t>
        </is>
      </c>
      <c r="B84" s="16" t="inlineStr">
        <is>
          <t>2023</t>
        </is>
      </c>
      <c r="C84" s="16" t="inlineStr">
        <is>
          <t>일반</t>
        </is>
      </c>
      <c r="D84" s="16" t="inlineStr">
        <is>
          <t>공공행정서비스</t>
        </is>
      </c>
      <c r="E84" s="16" t="n">
        <v>73.18000000000001</v>
      </c>
      <c r="F84" s="16" t="inlineStr"/>
      <c r="G84" s="16" t="inlineStr"/>
    </row>
    <row r="85">
      <c r="A85" s="16" t="inlineStr">
        <is>
          <t>2023|일반|금융서비스</t>
        </is>
      </c>
      <c r="B85" s="16" t="inlineStr">
        <is>
          <t>2023</t>
        </is>
      </c>
      <c r="C85" s="16" t="inlineStr">
        <is>
          <t>일반</t>
        </is>
      </c>
      <c r="D85" s="16" t="inlineStr">
        <is>
          <t>금융서비스</t>
        </is>
      </c>
      <c r="E85" s="16" t="n">
        <v>66.06999999999999</v>
      </c>
      <c r="F85" s="16" t="inlineStr"/>
      <c r="G85" s="16" t="inlineStr">
        <is>
          <t>표본 10개 미만, 참고만</t>
        </is>
      </c>
    </row>
    <row r="86">
      <c r="A86" s="16" t="inlineStr">
        <is>
          <t>2023|일반|기타서비스</t>
        </is>
      </c>
      <c r="B86" s="16" t="inlineStr">
        <is>
          <t>2023</t>
        </is>
      </c>
      <c r="C86" s="16" t="inlineStr">
        <is>
          <t>일반</t>
        </is>
      </c>
      <c r="D86" s="16" t="inlineStr">
        <is>
          <t>기타서비스</t>
        </is>
      </c>
      <c r="E86" s="16" t="n">
        <v>69.23</v>
      </c>
      <c r="F86" s="16" t="inlineStr"/>
      <c r="G86" s="16" t="inlineStr">
        <is>
          <t>표본 10개 미만, 참고만</t>
        </is>
      </c>
    </row>
    <row r="87">
      <c r="A87" s="16" t="inlineStr">
        <is>
          <t>2023|일반|노조 있음</t>
        </is>
      </c>
      <c r="B87" s="16" t="inlineStr">
        <is>
          <t>2023</t>
        </is>
      </c>
      <c r="C87" s="16" t="inlineStr">
        <is>
          <t>일반</t>
        </is>
      </c>
      <c r="D87" s="16" t="inlineStr">
        <is>
          <t>노조 있음</t>
        </is>
      </c>
      <c r="E87" s="16" t="n">
        <v>70.29000000000001</v>
      </c>
      <c r="F87" s="16" t="inlineStr"/>
      <c r="G87" s="16" t="inlineStr"/>
    </row>
    <row r="88">
      <c r="A88" s="16" t="inlineStr">
        <is>
          <t>2023|일반|노조 없음</t>
        </is>
      </c>
      <c r="B88" s="16" t="inlineStr">
        <is>
          <t>2023</t>
        </is>
      </c>
      <c r="C88" s="16" t="inlineStr">
        <is>
          <t>일반</t>
        </is>
      </c>
      <c r="D88" s="16" t="inlineStr">
        <is>
          <t>노조 없음</t>
        </is>
      </c>
      <c r="E88" s="16" t="n">
        <v>66.25</v>
      </c>
      <c r="F88" s="16" t="inlineStr"/>
      <c r="G88" s="16" t="inlineStr"/>
    </row>
    <row r="89">
      <c r="A89" s="16" t="inlineStr">
        <is>
          <t>2024|수혜|전체</t>
        </is>
      </c>
      <c r="B89" s="16" t="inlineStr">
        <is>
          <t>2024</t>
        </is>
      </c>
      <c r="C89" s="16" t="inlineStr">
        <is>
          <t>수혜</t>
        </is>
      </c>
      <c r="D89" s="16" t="inlineStr">
        <is>
          <t>전체</t>
        </is>
      </c>
      <c r="E89" s="16" t="n">
        <v>66.08</v>
      </c>
      <c r="F89" s="16" t="inlineStr"/>
      <c r="G89" s="16" t="inlineStr"/>
    </row>
    <row r="90">
      <c r="A90" s="16" t="inlineStr">
        <is>
          <t>2024|수혜|50인 미만</t>
        </is>
      </c>
      <c r="B90" s="16" t="inlineStr">
        <is>
          <t>2024</t>
        </is>
      </c>
      <c r="C90" s="16" t="inlineStr">
        <is>
          <t>수혜</t>
        </is>
      </c>
      <c r="D90" s="16" t="inlineStr">
        <is>
          <t>50인 미만</t>
        </is>
      </c>
      <c r="E90" s="16" t="n">
        <v>64.26000000000001</v>
      </c>
      <c r="F90" s="16" t="inlineStr"/>
      <c r="G90" s="16" t="inlineStr"/>
    </row>
    <row r="91">
      <c r="A91" s="16" t="inlineStr">
        <is>
          <t>2024|수혜|50~100인 미만</t>
        </is>
      </c>
      <c r="B91" s="16" t="inlineStr">
        <is>
          <t>2024</t>
        </is>
      </c>
      <c r="C91" s="16" t="inlineStr">
        <is>
          <t>수혜</t>
        </is>
      </c>
      <c r="D91" s="16" t="inlineStr">
        <is>
          <t>50~100인 미만</t>
        </is>
      </c>
      <c r="E91" s="16" t="n">
        <v>67.17</v>
      </c>
      <c r="F91" s="16" t="inlineStr"/>
      <c r="G91" s="16" t="inlineStr"/>
    </row>
    <row r="92">
      <c r="A92" s="16" t="inlineStr">
        <is>
          <t>2024|수혜|100~300인 미만</t>
        </is>
      </c>
      <c r="B92" s="16" t="inlineStr">
        <is>
          <t>2024</t>
        </is>
      </c>
      <c r="C92" s="16" t="inlineStr">
        <is>
          <t>수혜</t>
        </is>
      </c>
      <c r="D92" s="16" t="inlineStr">
        <is>
          <t>100~300인 미만</t>
        </is>
      </c>
      <c r="E92" s="16" t="n">
        <v>65.91</v>
      </c>
      <c r="F92" s="16" t="inlineStr"/>
      <c r="G92" s="16" t="inlineStr"/>
    </row>
    <row r="93">
      <c r="A93" s="16" t="inlineStr">
        <is>
          <t>2024|수혜|300인 이상</t>
        </is>
      </c>
      <c r="B93" s="16" t="inlineStr">
        <is>
          <t>2024</t>
        </is>
      </c>
      <c r="C93" s="16" t="inlineStr">
        <is>
          <t>수혜</t>
        </is>
      </c>
      <c r="D93" s="16" t="inlineStr">
        <is>
          <t>300인 이상</t>
        </is>
      </c>
      <c r="E93" s="16" t="n">
        <v>72.65000000000001</v>
      </c>
      <c r="F93" s="16" t="inlineStr"/>
      <c r="G93" s="16" t="inlineStr"/>
    </row>
    <row r="94">
      <c r="A94" s="16" t="inlineStr">
        <is>
          <t>2024|수혜|제조업</t>
        </is>
      </c>
      <c r="B94" s="16" t="inlineStr">
        <is>
          <t>2024</t>
        </is>
      </c>
      <c r="C94" s="16" t="inlineStr">
        <is>
          <t>수혜</t>
        </is>
      </c>
      <c r="D94" s="16" t="inlineStr">
        <is>
          <t>제조업</t>
        </is>
      </c>
      <c r="E94" s="16" t="n">
        <v>66.04000000000001</v>
      </c>
      <c r="F94" s="16" t="inlineStr"/>
      <c r="G94" s="16" t="inlineStr"/>
    </row>
    <row r="95">
      <c r="A95" s="16" t="inlineStr">
        <is>
          <t>2024|수혜|일반서비스</t>
        </is>
      </c>
      <c r="B95" s="16" t="inlineStr">
        <is>
          <t>2024</t>
        </is>
      </c>
      <c r="C95" s="16" t="inlineStr">
        <is>
          <t>수혜</t>
        </is>
      </c>
      <c r="D95" s="16" t="inlineStr">
        <is>
          <t>일반서비스</t>
        </is>
      </c>
      <c r="E95" s="16" t="n">
        <v>65.20999999999999</v>
      </c>
      <c r="F95" s="16" t="inlineStr"/>
      <c r="G95" s="16" t="inlineStr"/>
    </row>
    <row r="96">
      <c r="A96" s="16" t="inlineStr">
        <is>
          <t>2024|수혜|공공행정서비스</t>
        </is>
      </c>
      <c r="B96" s="16" t="inlineStr">
        <is>
          <t>2024</t>
        </is>
      </c>
      <c r="C96" s="16" t="inlineStr">
        <is>
          <t>수혜</t>
        </is>
      </c>
      <c r="D96" s="16" t="inlineStr">
        <is>
          <t>공공행정서비스</t>
        </is>
      </c>
      <c r="E96" s="16" t="n">
        <v>70.73</v>
      </c>
      <c r="F96" s="16" t="inlineStr"/>
      <c r="G96" s="16" t="inlineStr"/>
    </row>
    <row r="97">
      <c r="A97" s="16" t="inlineStr">
        <is>
          <t>2024|수혜|금융서비스</t>
        </is>
      </c>
      <c r="B97" s="16" t="inlineStr">
        <is>
          <t>2024</t>
        </is>
      </c>
      <c r="C97" s="16" t="inlineStr">
        <is>
          <t>수혜</t>
        </is>
      </c>
      <c r="D97" s="16" t="inlineStr">
        <is>
          <t>금융서비스</t>
        </is>
      </c>
      <c r="E97" s="16" t="n">
        <v>65.89</v>
      </c>
      <c r="F97" s="16" t="inlineStr"/>
      <c r="G97" s="16" t="inlineStr">
        <is>
          <t>표본 10개 미만, 참고만</t>
        </is>
      </c>
    </row>
    <row r="98">
      <c r="A98" s="16" t="inlineStr">
        <is>
          <t>2024|수혜|기타서비스</t>
        </is>
      </c>
      <c r="B98" s="16" t="inlineStr">
        <is>
          <t>2024</t>
        </is>
      </c>
      <c r="C98" s="16" t="inlineStr">
        <is>
          <t>수혜</t>
        </is>
      </c>
      <c r="D98" s="16" t="inlineStr">
        <is>
          <t>기타서비스</t>
        </is>
      </c>
      <c r="E98" s="16" t="n">
        <v>55.51</v>
      </c>
      <c r="F98" s="16" t="inlineStr"/>
      <c r="G98" s="16" t="inlineStr">
        <is>
          <t>표본 10개 미만, 참고만</t>
        </is>
      </c>
    </row>
    <row r="99">
      <c r="A99" s="16" t="inlineStr">
        <is>
          <t>2024|수혜|노조 있음</t>
        </is>
      </c>
      <c r="B99" s="16" t="inlineStr">
        <is>
          <t>2024</t>
        </is>
      </c>
      <c r="C99" s="16" t="inlineStr">
        <is>
          <t>수혜</t>
        </is>
      </c>
      <c r="D99" s="16" t="inlineStr">
        <is>
          <t>노조 있음</t>
        </is>
      </c>
      <c r="E99" s="16" t="n">
        <v>70.72</v>
      </c>
      <c r="F99" s="16" t="inlineStr"/>
      <c r="G99" s="16" t="inlineStr"/>
    </row>
    <row r="100">
      <c r="A100" s="16" t="inlineStr">
        <is>
          <t>2024|수혜|노조 없음</t>
        </is>
      </c>
      <c r="B100" s="16" t="inlineStr">
        <is>
          <t>2024</t>
        </is>
      </c>
      <c r="C100" s="16" t="inlineStr">
        <is>
          <t>수혜</t>
        </is>
      </c>
      <c r="D100" s="16" t="inlineStr">
        <is>
          <t>노조 없음</t>
        </is>
      </c>
      <c r="E100" s="16" t="n">
        <v>65.48</v>
      </c>
      <c r="F100" s="16" t="inlineStr"/>
      <c r="G100" s="16" t="inlineStr"/>
    </row>
    <row r="101">
      <c r="A101" s="16" t="inlineStr">
        <is>
          <t>2024|일반|전체</t>
        </is>
      </c>
      <c r="B101" s="16" t="inlineStr">
        <is>
          <t>2024</t>
        </is>
      </c>
      <c r="C101" s="16" t="inlineStr">
        <is>
          <t>일반</t>
        </is>
      </c>
      <c r="D101" s="16" t="inlineStr">
        <is>
          <t>전체</t>
        </is>
      </c>
      <c r="E101" s="16" t="n">
        <v>61.36</v>
      </c>
      <c r="F101" s="16" t="inlineStr"/>
      <c r="G101" s="16" t="inlineStr"/>
    </row>
    <row r="102">
      <c r="A102" s="16" t="inlineStr">
        <is>
          <t>2024|일반|50인 미만</t>
        </is>
      </c>
      <c r="B102" s="16" t="inlineStr">
        <is>
          <t>2024</t>
        </is>
      </c>
      <c r="C102" s="16" t="inlineStr">
        <is>
          <t>일반</t>
        </is>
      </c>
      <c r="D102" s="16" t="inlineStr">
        <is>
          <t>50인 미만</t>
        </is>
      </c>
      <c r="E102" s="16" t="n">
        <v>58.48</v>
      </c>
      <c r="F102" s="16" t="inlineStr"/>
      <c r="G102" s="16" t="inlineStr"/>
    </row>
    <row r="103">
      <c r="A103" s="16" t="inlineStr">
        <is>
          <t>2024|일반|50~100인 미만</t>
        </is>
      </c>
      <c r="B103" s="16" t="inlineStr">
        <is>
          <t>2024</t>
        </is>
      </c>
      <c r="C103" s="16" t="inlineStr">
        <is>
          <t>일반</t>
        </is>
      </c>
      <c r="D103" s="16" t="inlineStr">
        <is>
          <t>50~100인 미만</t>
        </is>
      </c>
      <c r="E103" s="16" t="n">
        <v>61.02</v>
      </c>
      <c r="F103" s="16" t="inlineStr"/>
      <c r="G103" s="16" t="inlineStr"/>
    </row>
    <row r="104">
      <c r="A104" s="16" t="inlineStr">
        <is>
          <t>2024|일반|100~300인 미만</t>
        </is>
      </c>
      <c r="B104" s="16" t="inlineStr">
        <is>
          <t>2024</t>
        </is>
      </c>
      <c r="C104" s="16" t="inlineStr">
        <is>
          <t>일반</t>
        </is>
      </c>
      <c r="D104" s="16" t="inlineStr">
        <is>
          <t>100~300인 미만</t>
        </is>
      </c>
      <c r="E104" s="16" t="n">
        <v>64.44</v>
      </c>
      <c r="F104" s="16" t="inlineStr"/>
      <c r="G104" s="16" t="inlineStr"/>
    </row>
    <row r="105">
      <c r="A105" s="16" t="inlineStr">
        <is>
          <t>2024|일반|300인 이상</t>
        </is>
      </c>
      <c r="B105" s="16" t="inlineStr">
        <is>
          <t>2024</t>
        </is>
      </c>
      <c r="C105" s="16" t="inlineStr">
        <is>
          <t>일반</t>
        </is>
      </c>
      <c r="D105" s="16" t="inlineStr">
        <is>
          <t>300인 이상</t>
        </is>
      </c>
      <c r="E105" s="16" t="n">
        <v>68.79000000000001</v>
      </c>
      <c r="F105" s="16" t="inlineStr"/>
      <c r="G105" s="16" t="inlineStr"/>
    </row>
    <row r="106">
      <c r="A106" s="16" t="inlineStr">
        <is>
          <t>2024|일반|제조업</t>
        </is>
      </c>
      <c r="B106" s="16" t="inlineStr">
        <is>
          <t>2024</t>
        </is>
      </c>
      <c r="C106" s="16" t="inlineStr">
        <is>
          <t>일반</t>
        </is>
      </c>
      <c r="D106" s="16" t="inlineStr">
        <is>
          <t>제조업</t>
        </is>
      </c>
      <c r="E106" s="16" t="n">
        <v>60.6</v>
      </c>
      <c r="F106" s="16" t="inlineStr"/>
      <c r="G106" s="16" t="inlineStr"/>
    </row>
    <row r="107">
      <c r="A107" s="16" t="inlineStr">
        <is>
          <t>2024|일반|일반서비스</t>
        </is>
      </c>
      <c r="B107" s="16" t="inlineStr">
        <is>
          <t>2024</t>
        </is>
      </c>
      <c r="C107" s="16" t="inlineStr">
        <is>
          <t>일반</t>
        </is>
      </c>
      <c r="D107" s="16" t="inlineStr">
        <is>
          <t>일반서비스</t>
        </is>
      </c>
      <c r="E107" s="16" t="n">
        <v>61.26</v>
      </c>
      <c r="F107" s="16" t="inlineStr"/>
      <c r="G107" s="16" t="inlineStr"/>
    </row>
    <row r="108">
      <c r="A108" s="16" t="inlineStr">
        <is>
          <t>2024|일반|공공행정서비스</t>
        </is>
      </c>
      <c r="B108" s="16" t="inlineStr">
        <is>
          <t>2024</t>
        </is>
      </c>
      <c r="C108" s="16" t="inlineStr">
        <is>
          <t>일반</t>
        </is>
      </c>
      <c r="D108" s="16" t="inlineStr">
        <is>
          <t>공공행정서비스</t>
        </is>
      </c>
      <c r="E108" s="16" t="n">
        <v>65.84</v>
      </c>
      <c r="F108" s="16" t="inlineStr"/>
      <c r="G108" s="16" t="inlineStr"/>
    </row>
    <row r="109">
      <c r="A109" s="16" t="inlineStr">
        <is>
          <t>2024|일반|금융서비스</t>
        </is>
      </c>
      <c r="B109" s="16" t="inlineStr">
        <is>
          <t>2024</t>
        </is>
      </c>
      <c r="C109" s="16" t="inlineStr">
        <is>
          <t>일반</t>
        </is>
      </c>
      <c r="D109" s="16" t="inlineStr">
        <is>
          <t>금융서비스</t>
        </is>
      </c>
      <c r="E109" s="16" t="n">
        <v>60.19</v>
      </c>
      <c r="F109" s="16" t="inlineStr"/>
      <c r="G109" s="16" t="inlineStr">
        <is>
          <t>표본 10개 미만, 참고만</t>
        </is>
      </c>
    </row>
    <row r="110">
      <c r="A110" s="16" t="inlineStr">
        <is>
          <t>2024|일반|기타서비스</t>
        </is>
      </c>
      <c r="B110" s="16" t="inlineStr">
        <is>
          <t>2024</t>
        </is>
      </c>
      <c r="C110" s="16" t="inlineStr">
        <is>
          <t>일반</t>
        </is>
      </c>
      <c r="D110" s="16" t="inlineStr">
        <is>
          <t>기타서비스</t>
        </is>
      </c>
      <c r="E110" s="16" t="n">
        <v>69.51000000000001</v>
      </c>
      <c r="F110" s="16" t="inlineStr"/>
      <c r="G110" s="16" t="inlineStr">
        <is>
          <t>표본 10개 미만, 참고만</t>
        </is>
      </c>
    </row>
    <row r="111">
      <c r="A111" s="16" t="inlineStr">
        <is>
          <t>2024|일반|노조 있음</t>
        </is>
      </c>
      <c r="B111" s="16" t="inlineStr">
        <is>
          <t>2024</t>
        </is>
      </c>
      <c r="C111" s="16" t="inlineStr">
        <is>
          <t>일반</t>
        </is>
      </c>
      <c r="D111" s="16" t="inlineStr">
        <is>
          <t>노조 있음</t>
        </is>
      </c>
      <c r="E111" s="16" t="n">
        <v>63.33</v>
      </c>
      <c r="F111" s="16" t="inlineStr"/>
      <c r="G111" s="16" t="inlineStr"/>
    </row>
    <row r="112">
      <c r="A112" s="16" t="inlineStr">
        <is>
          <t>2024|일반|노조 없음</t>
        </is>
      </c>
      <c r="B112" s="16" t="inlineStr">
        <is>
          <t>2024</t>
        </is>
      </c>
      <c r="C112" s="16" t="inlineStr">
        <is>
          <t>일반</t>
        </is>
      </c>
      <c r="D112" s="16" t="inlineStr">
        <is>
          <t>노조 없음</t>
        </is>
      </c>
      <c r="E112" s="16" t="n">
        <v>60.95</v>
      </c>
      <c r="F112" s="16" t="inlineStr"/>
      <c r="G112" s="16" t="inlineStr"/>
    </row>
    <row r="113">
      <c r="A113" s="16" t="inlineStr">
        <is>
          <t>2025|수혜|전체</t>
        </is>
      </c>
      <c r="B113" s="16" t="inlineStr">
        <is>
          <t>2025</t>
        </is>
      </c>
      <c r="C113" s="16" t="inlineStr">
        <is>
          <t>수혜</t>
        </is>
      </c>
      <c r="D113" s="16" t="inlineStr">
        <is>
          <t>전체</t>
        </is>
      </c>
      <c r="E113" s="16" t="n">
        <v>65.16</v>
      </c>
      <c r="F113" s="16" t="inlineStr"/>
      <c r="G113" s="16" t="inlineStr"/>
    </row>
    <row r="114">
      <c r="A114" s="16" t="inlineStr">
        <is>
          <t>2025|수혜|50인 미만</t>
        </is>
      </c>
      <c r="B114" s="16" t="inlineStr">
        <is>
          <t>2025</t>
        </is>
      </c>
      <c r="C114" s="16" t="inlineStr">
        <is>
          <t>수혜</t>
        </is>
      </c>
      <c r="D114" s="16" t="inlineStr">
        <is>
          <t>50인 미만</t>
        </is>
      </c>
      <c r="E114" s="16" t="n">
        <v>64.27</v>
      </c>
      <c r="F114" s="16" t="inlineStr"/>
      <c r="G114" s="16" t="inlineStr"/>
    </row>
    <row r="115">
      <c r="A115" s="16" t="inlineStr">
        <is>
          <t>2025|수혜|50~100인 미만</t>
        </is>
      </c>
      <c r="B115" s="16" t="inlineStr">
        <is>
          <t>2025</t>
        </is>
      </c>
      <c r="C115" s="16" t="inlineStr">
        <is>
          <t>수혜</t>
        </is>
      </c>
      <c r="D115" s="16" t="inlineStr">
        <is>
          <t>50~100인 미만</t>
        </is>
      </c>
      <c r="E115" s="16" t="n">
        <v>66.59999999999999</v>
      </c>
      <c r="F115" s="16" t="inlineStr"/>
      <c r="G115" s="16" t="inlineStr"/>
    </row>
    <row r="116">
      <c r="A116" s="16" t="inlineStr">
        <is>
          <t>2025|수혜|100~300인 미만</t>
        </is>
      </c>
      <c r="B116" s="16" t="inlineStr">
        <is>
          <t>2025</t>
        </is>
      </c>
      <c r="C116" s="16" t="inlineStr">
        <is>
          <t>수혜</t>
        </is>
      </c>
      <c r="D116" s="16" t="inlineStr">
        <is>
          <t>100~300인 미만</t>
        </is>
      </c>
      <c r="E116" s="16" t="n">
        <v>64.84</v>
      </c>
      <c r="F116" s="16" t="inlineStr"/>
      <c r="G116" s="16" t="inlineStr"/>
    </row>
    <row r="117">
      <c r="A117" s="16" t="inlineStr">
        <is>
          <t>2025|수혜|300인 이상</t>
        </is>
      </c>
      <c r="B117" s="16" t="inlineStr">
        <is>
          <t>2025</t>
        </is>
      </c>
      <c r="C117" s="16" t="inlineStr">
        <is>
          <t>수혜</t>
        </is>
      </c>
      <c r="D117" s="16" t="inlineStr">
        <is>
          <t>300인 이상</t>
        </is>
      </c>
      <c r="E117" s="16" t="n">
        <v>65.75</v>
      </c>
      <c r="F117" s="16" t="inlineStr"/>
      <c r="G117" s="16" t="inlineStr"/>
    </row>
    <row r="118">
      <c r="A118" s="16" t="inlineStr">
        <is>
          <t>2025|수혜|제조업</t>
        </is>
      </c>
      <c r="B118" s="16" t="inlineStr">
        <is>
          <t>2025</t>
        </is>
      </c>
      <c r="C118" s="16" t="inlineStr">
        <is>
          <t>수혜</t>
        </is>
      </c>
      <c r="D118" s="16" t="inlineStr">
        <is>
          <t>제조업</t>
        </is>
      </c>
      <c r="E118" s="16" t="n">
        <v>65.12</v>
      </c>
      <c r="F118" s="16" t="inlineStr"/>
      <c r="G118" s="16" t="inlineStr"/>
    </row>
    <row r="119">
      <c r="A119" s="16" t="inlineStr">
        <is>
          <t>2025|수혜|일반서비스</t>
        </is>
      </c>
      <c r="B119" s="16" t="inlineStr">
        <is>
          <t>2025</t>
        </is>
      </c>
      <c r="C119" s="16" t="inlineStr">
        <is>
          <t>수혜</t>
        </is>
      </c>
      <c r="D119" s="16" t="inlineStr">
        <is>
          <t>일반서비스</t>
        </is>
      </c>
      <c r="E119" s="16" t="n">
        <v>63.92</v>
      </c>
      <c r="F119" s="16" t="inlineStr"/>
      <c r="G119" s="16" t="inlineStr"/>
    </row>
    <row r="120">
      <c r="A120" s="16" t="inlineStr">
        <is>
          <t>2025|수혜|공공행정서비스</t>
        </is>
      </c>
      <c r="B120" s="16" t="inlineStr">
        <is>
          <t>2025</t>
        </is>
      </c>
      <c r="C120" s="16" t="inlineStr">
        <is>
          <t>수혜</t>
        </is>
      </c>
      <c r="D120" s="16" t="inlineStr">
        <is>
          <t>공공행정서비스</t>
        </is>
      </c>
      <c r="E120" s="16" t="n">
        <v>69.12</v>
      </c>
      <c r="F120" s="16" t="inlineStr"/>
      <c r="G120" s="16" t="inlineStr"/>
    </row>
    <row r="121">
      <c r="A121" s="16" t="inlineStr">
        <is>
          <t>2025|수혜|금융서비스</t>
        </is>
      </c>
      <c r="B121" s="16" t="inlineStr">
        <is>
          <t>2025</t>
        </is>
      </c>
      <c r="C121" s="16" t="inlineStr">
        <is>
          <t>수혜</t>
        </is>
      </c>
      <c r="D121" s="16" t="inlineStr">
        <is>
          <t>금융서비스</t>
        </is>
      </c>
      <c r="E121" s="16" t="n">
        <v>72.7</v>
      </c>
      <c r="F121" s="16" t="inlineStr"/>
      <c r="G121" s="16" t="inlineStr">
        <is>
          <t>표본 10개 미만, 참고만</t>
        </is>
      </c>
    </row>
    <row r="122">
      <c r="A122" s="16" t="inlineStr">
        <is>
          <t>2025|수혜|기타서비스</t>
        </is>
      </c>
      <c r="B122" s="16" t="inlineStr">
        <is>
          <t>2025</t>
        </is>
      </c>
      <c r="C122" s="16" t="inlineStr">
        <is>
          <t>수혜</t>
        </is>
      </c>
      <c r="D122" s="16" t="inlineStr">
        <is>
          <t>기타서비스</t>
        </is>
      </c>
      <c r="E122" s="16" t="n">
        <v>68.48</v>
      </c>
      <c r="F122" s="16" t="inlineStr"/>
      <c r="G122" s="16" t="inlineStr">
        <is>
          <t>표본 10개 미만, 참고만</t>
        </is>
      </c>
    </row>
    <row r="123">
      <c r="A123" s="16" t="inlineStr">
        <is>
          <t>2025|수혜|노조 있음</t>
        </is>
      </c>
      <c r="B123" s="16" t="inlineStr">
        <is>
          <t>2025</t>
        </is>
      </c>
      <c r="C123" s="16" t="inlineStr">
        <is>
          <t>수혜</t>
        </is>
      </c>
      <c r="D123" s="16" t="inlineStr">
        <is>
          <t>노조 있음</t>
        </is>
      </c>
      <c r="E123" s="16" t="n">
        <v>64.53</v>
      </c>
      <c r="F123" s="16" t="inlineStr"/>
      <c r="G123" s="16" t="inlineStr"/>
    </row>
    <row r="124">
      <c r="A124" s="16" t="inlineStr">
        <is>
          <t>2025|수혜|노조 없음</t>
        </is>
      </c>
      <c r="B124" s="16" t="inlineStr">
        <is>
          <t>2025</t>
        </is>
      </c>
      <c r="C124" s="16" t="inlineStr">
        <is>
          <t>수혜</t>
        </is>
      </c>
      <c r="D124" s="16" t="inlineStr">
        <is>
          <t>노조 없음</t>
        </is>
      </c>
      <c r="E124" s="16" t="n">
        <v>65.2</v>
      </c>
      <c r="F124" s="16" t="inlineStr"/>
      <c r="G124" s="16" t="inlineStr"/>
    </row>
    <row r="125">
      <c r="A125" s="16" t="inlineStr">
        <is>
          <t>2025|일반|전체</t>
        </is>
      </c>
      <c r="B125" s="16" t="inlineStr">
        <is>
          <t>2025</t>
        </is>
      </c>
      <c r="C125" s="16" t="inlineStr">
        <is>
          <t>일반</t>
        </is>
      </c>
      <c r="D125" s="16" t="inlineStr">
        <is>
          <t>전체</t>
        </is>
      </c>
      <c r="E125" s="16" t="n">
        <v>60.1</v>
      </c>
      <c r="F125" s="16" t="inlineStr"/>
      <c r="G125" s="16" t="inlineStr"/>
    </row>
    <row r="126">
      <c r="A126" s="16" t="inlineStr">
        <is>
          <t>2025|일반|50인 미만</t>
        </is>
      </c>
      <c r="B126" s="16" t="inlineStr">
        <is>
          <t>2025</t>
        </is>
      </c>
      <c r="C126" s="16" t="inlineStr">
        <is>
          <t>일반</t>
        </is>
      </c>
      <c r="D126" s="16" t="inlineStr">
        <is>
          <t>50인 미만</t>
        </is>
      </c>
      <c r="E126" s="16" t="n">
        <v>58.02</v>
      </c>
      <c r="F126" s="16" t="inlineStr"/>
      <c r="G126" s="16" t="inlineStr"/>
    </row>
    <row r="127">
      <c r="A127" s="16" t="inlineStr">
        <is>
          <t>2025|일반|50~100인 미만</t>
        </is>
      </c>
      <c r="B127" s="16" t="inlineStr">
        <is>
          <t>2025</t>
        </is>
      </c>
      <c r="C127" s="16" t="inlineStr">
        <is>
          <t>일반</t>
        </is>
      </c>
      <c r="D127" s="16" t="inlineStr">
        <is>
          <t>50~100인 미만</t>
        </is>
      </c>
      <c r="E127" s="16" t="n">
        <v>59.76</v>
      </c>
      <c r="F127" s="16" t="inlineStr"/>
      <c r="G127" s="16" t="inlineStr"/>
    </row>
    <row r="128">
      <c r="A128" s="16" t="inlineStr">
        <is>
          <t>2025|일반|100~300인 미만</t>
        </is>
      </c>
      <c r="B128" s="16" t="inlineStr">
        <is>
          <t>2025</t>
        </is>
      </c>
      <c r="C128" s="16" t="inlineStr">
        <is>
          <t>일반</t>
        </is>
      </c>
      <c r="D128" s="16" t="inlineStr">
        <is>
          <t>100~300인 미만</t>
        </is>
      </c>
      <c r="E128" s="16" t="n">
        <v>62.52</v>
      </c>
      <c r="F128" s="16" t="inlineStr"/>
      <c r="G128" s="16" t="inlineStr"/>
    </row>
    <row r="129">
      <c r="A129" s="16" t="inlineStr">
        <is>
          <t>2025|일반|300인 이상</t>
        </is>
      </c>
      <c r="B129" s="16" t="inlineStr">
        <is>
          <t>2025</t>
        </is>
      </c>
      <c r="C129" s="16" t="inlineStr">
        <is>
          <t>일반</t>
        </is>
      </c>
      <c r="D129" s="16" t="inlineStr">
        <is>
          <t>300인 이상</t>
        </is>
      </c>
      <c r="E129" s="16" t="n">
        <v>73.01000000000001</v>
      </c>
      <c r="F129" s="16" t="inlineStr"/>
      <c r="G129" s="16" t="inlineStr"/>
    </row>
    <row r="130">
      <c r="A130" s="16" t="inlineStr">
        <is>
          <t>2025|일반|제조업</t>
        </is>
      </c>
      <c r="B130" s="16" t="inlineStr">
        <is>
          <t>2025</t>
        </is>
      </c>
      <c r="C130" s="16" t="inlineStr">
        <is>
          <t>일반</t>
        </is>
      </c>
      <c r="D130" s="16" t="inlineStr">
        <is>
          <t>제조업</t>
        </is>
      </c>
      <c r="E130" s="16" t="n">
        <v>59.06</v>
      </c>
      <c r="F130" s="16" t="inlineStr"/>
      <c r="G130" s="16" t="inlineStr"/>
    </row>
    <row r="131">
      <c r="A131" s="16" t="inlineStr">
        <is>
          <t>2025|일반|일반서비스</t>
        </is>
      </c>
      <c r="B131" s="16" t="inlineStr">
        <is>
          <t>2025</t>
        </is>
      </c>
      <c r="C131" s="16" t="inlineStr">
        <is>
          <t>일반</t>
        </is>
      </c>
      <c r="D131" s="16" t="inlineStr">
        <is>
          <t>일반서비스</t>
        </is>
      </c>
      <c r="E131" s="16" t="n">
        <v>60.26</v>
      </c>
      <c r="F131" s="16" t="inlineStr"/>
      <c r="G131" s="16" t="inlineStr"/>
    </row>
    <row r="132">
      <c r="A132" s="16" t="inlineStr">
        <is>
          <t>2025|일반|공공행정서비스</t>
        </is>
      </c>
      <c r="B132" s="16" t="inlineStr">
        <is>
          <t>2025</t>
        </is>
      </c>
      <c r="C132" s="16" t="inlineStr">
        <is>
          <t>일반</t>
        </is>
      </c>
      <c r="D132" s="16" t="inlineStr">
        <is>
          <t>공공행정서비스</t>
        </is>
      </c>
      <c r="E132" s="16" t="n">
        <v>65.40000000000001</v>
      </c>
      <c r="F132" s="16" t="inlineStr"/>
      <c r="G132" s="16" t="inlineStr"/>
    </row>
    <row r="133">
      <c r="A133" s="16" t="inlineStr">
        <is>
          <t>2025|일반|금융서비스</t>
        </is>
      </c>
      <c r="B133" s="16" t="inlineStr">
        <is>
          <t>2025</t>
        </is>
      </c>
      <c r="C133" s="16" t="inlineStr">
        <is>
          <t>일반</t>
        </is>
      </c>
      <c r="D133" s="16" t="inlineStr">
        <is>
          <t>금융서비스</t>
        </is>
      </c>
      <c r="E133" s="16" t="n">
        <v>69.76000000000001</v>
      </c>
      <c r="F133" s="16" t="inlineStr"/>
      <c r="G133" s="16" t="inlineStr">
        <is>
          <t>표본 10개 미만, 참고만</t>
        </is>
      </c>
    </row>
    <row r="134">
      <c r="A134" s="16" t="inlineStr">
        <is>
          <t>2025|일반|기타서비스</t>
        </is>
      </c>
      <c r="B134" s="16" t="inlineStr">
        <is>
          <t>2025</t>
        </is>
      </c>
      <c r="C134" s="16" t="inlineStr">
        <is>
          <t>일반</t>
        </is>
      </c>
      <c r="D134" s="16" t="inlineStr">
        <is>
          <t>기타서비스</t>
        </is>
      </c>
      <c r="E134" s="16" t="n">
        <v>68.86</v>
      </c>
      <c r="F134" s="16" t="inlineStr"/>
      <c r="G134" s="16" t="inlineStr">
        <is>
          <t>표본 10개 미만, 참고만</t>
        </is>
      </c>
    </row>
    <row r="135">
      <c r="A135" s="16" t="inlineStr">
        <is>
          <t>2025|일반|노조 있음</t>
        </is>
      </c>
      <c r="B135" s="16" t="inlineStr">
        <is>
          <t>2025</t>
        </is>
      </c>
      <c r="C135" s="16" t="inlineStr">
        <is>
          <t>일반</t>
        </is>
      </c>
      <c r="D135" s="16" t="inlineStr">
        <is>
          <t>노조 있음</t>
        </is>
      </c>
      <c r="E135" s="16" t="n">
        <v>65.95</v>
      </c>
      <c r="F135" s="16" t="inlineStr"/>
      <c r="G135" s="16" t="inlineStr"/>
    </row>
    <row r="136">
      <c r="A136" s="16" t="inlineStr">
        <is>
          <t>2025|일반|노조 없음</t>
        </is>
      </c>
      <c r="B136" s="16" t="inlineStr">
        <is>
          <t>2025</t>
        </is>
      </c>
      <c r="C136" s="16" t="inlineStr">
        <is>
          <t>일반</t>
        </is>
      </c>
      <c r="D136" s="16" t="inlineStr">
        <is>
          <t>노조 없음</t>
        </is>
      </c>
      <c r="E136" s="16" t="n">
        <v>59.21</v>
      </c>
      <c r="F136" s="16" t="inlineStr"/>
      <c r="G136" s="16" t="inlineStr"/>
    </row>
    <row r="137">
      <c r="A137" s="16" t="inlineStr">
        <is>
          <t>2024(보정)|수혜|전체</t>
        </is>
      </c>
      <c r="B137" s="16" t="inlineStr">
        <is>
          <t>2024(보정)</t>
        </is>
      </c>
      <c r="C137" s="16" t="inlineStr">
        <is>
          <t>수혜</t>
        </is>
      </c>
      <c r="D137" s="16" t="inlineStr">
        <is>
          <t>전체</t>
        </is>
      </c>
      <c r="E137" s="16" t="n">
        <v>69.89</v>
      </c>
      <c r="F137" s="16" t="inlineStr"/>
      <c r="G137" s="16" t="inlineStr">
        <is>
          <t>갈등 블록 근사 보정(+3.81)</t>
        </is>
      </c>
    </row>
    <row r="138">
      <c r="A138" s="16" t="inlineStr">
        <is>
          <t>2024(보정)|수혜|50인 미만</t>
        </is>
      </c>
      <c r="B138" s="16" t="inlineStr">
        <is>
          <t>2024(보정)</t>
        </is>
      </c>
      <c r="C138" s="16" t="inlineStr">
        <is>
          <t>수혜</t>
        </is>
      </c>
      <c r="D138" s="16" t="inlineStr">
        <is>
          <t>50인 미만</t>
        </is>
      </c>
      <c r="E138" s="16" t="n">
        <v>68.06999999999999</v>
      </c>
      <c r="F138" s="16" t="inlineStr"/>
      <c r="G138" s="16" t="inlineStr">
        <is>
          <t>갈등 블록 근사 보정(+3.81)</t>
        </is>
      </c>
    </row>
    <row r="139">
      <c r="A139" s="16" t="inlineStr">
        <is>
          <t>2024(보정)|수혜|50~100인 미만</t>
        </is>
      </c>
      <c r="B139" s="16" t="inlineStr">
        <is>
          <t>2024(보정)</t>
        </is>
      </c>
      <c r="C139" s="16" t="inlineStr">
        <is>
          <t>수혜</t>
        </is>
      </c>
      <c r="D139" s="16" t="inlineStr">
        <is>
          <t>50~100인 미만</t>
        </is>
      </c>
      <c r="E139" s="16" t="n">
        <v>70.98</v>
      </c>
      <c r="F139" s="16" t="inlineStr"/>
      <c r="G139" s="16" t="inlineStr">
        <is>
          <t>갈등 블록 근사 보정(+3.81)</t>
        </is>
      </c>
    </row>
    <row r="140">
      <c r="A140" s="16" t="inlineStr">
        <is>
          <t>2024(보정)|수혜|100~300인 미만</t>
        </is>
      </c>
      <c r="B140" s="16" t="inlineStr">
        <is>
          <t>2024(보정)</t>
        </is>
      </c>
      <c r="C140" s="16" t="inlineStr">
        <is>
          <t>수혜</t>
        </is>
      </c>
      <c r="D140" s="16" t="inlineStr">
        <is>
          <t>100~300인 미만</t>
        </is>
      </c>
      <c r="E140" s="16" t="n">
        <v>69.72</v>
      </c>
      <c r="F140" s="16" t="inlineStr"/>
      <c r="G140" s="16" t="inlineStr">
        <is>
          <t>갈등 블록 근사 보정(+3.81)</t>
        </is>
      </c>
    </row>
    <row r="141">
      <c r="A141" s="16" t="inlineStr">
        <is>
          <t>2024(보정)|수혜|300인 이상</t>
        </is>
      </c>
      <c r="B141" s="16" t="inlineStr">
        <is>
          <t>2024(보정)</t>
        </is>
      </c>
      <c r="C141" s="16" t="inlineStr">
        <is>
          <t>수혜</t>
        </is>
      </c>
      <c r="D141" s="16" t="inlineStr">
        <is>
          <t>300인 이상</t>
        </is>
      </c>
      <c r="E141" s="16" t="n">
        <v>76.45999999999999</v>
      </c>
      <c r="F141" s="16" t="inlineStr"/>
      <c r="G141" s="16" t="inlineStr">
        <is>
          <t>갈등 블록 근사 보정(+3.81)</t>
        </is>
      </c>
    </row>
    <row r="142">
      <c r="A142" s="16" t="inlineStr">
        <is>
          <t>2024(보정)|수혜|제조업</t>
        </is>
      </c>
      <c r="B142" s="16" t="inlineStr">
        <is>
          <t>2024(보정)</t>
        </is>
      </c>
      <c r="C142" s="16" t="inlineStr">
        <is>
          <t>수혜</t>
        </is>
      </c>
      <c r="D142" s="16" t="inlineStr">
        <is>
          <t>제조업</t>
        </is>
      </c>
      <c r="E142" s="16" t="n">
        <v>69.84999999999999</v>
      </c>
      <c r="F142" s="16" t="inlineStr"/>
      <c r="G142" s="16" t="inlineStr">
        <is>
          <t>갈등 블록 근사 보정(+3.81)</t>
        </is>
      </c>
    </row>
    <row r="143">
      <c r="A143" s="16" t="inlineStr">
        <is>
          <t>2024(보정)|수혜|일반서비스</t>
        </is>
      </c>
      <c r="B143" s="16" t="inlineStr">
        <is>
          <t>2024(보정)</t>
        </is>
      </c>
      <c r="C143" s="16" t="inlineStr">
        <is>
          <t>수혜</t>
        </is>
      </c>
      <c r="D143" s="16" t="inlineStr">
        <is>
          <t>일반서비스</t>
        </is>
      </c>
      <c r="E143" s="16" t="n">
        <v>69.02</v>
      </c>
      <c r="F143" s="16" t="inlineStr"/>
      <c r="G143" s="16" t="inlineStr">
        <is>
          <t>갈등 블록 근사 보정(+3.81)</t>
        </is>
      </c>
    </row>
    <row r="144">
      <c r="A144" s="16" t="inlineStr">
        <is>
          <t>2024(보정)|수혜|공공행정서비스</t>
        </is>
      </c>
      <c r="B144" s="16" t="inlineStr">
        <is>
          <t>2024(보정)</t>
        </is>
      </c>
      <c r="C144" s="16" t="inlineStr">
        <is>
          <t>수혜</t>
        </is>
      </c>
      <c r="D144" s="16" t="inlineStr">
        <is>
          <t>공공행정서비스</t>
        </is>
      </c>
      <c r="E144" s="16" t="n">
        <v>74.54000000000001</v>
      </c>
      <c r="F144" s="16" t="inlineStr"/>
      <c r="G144" s="16" t="inlineStr">
        <is>
          <t>갈등 블록 근사 보정(+3.81)</t>
        </is>
      </c>
    </row>
    <row r="145">
      <c r="A145" s="16" t="inlineStr">
        <is>
          <t>2024(보정)|수혜|금융서비스</t>
        </is>
      </c>
      <c r="B145" s="16" t="inlineStr">
        <is>
          <t>2024(보정)</t>
        </is>
      </c>
      <c r="C145" s="16" t="inlineStr">
        <is>
          <t>수혜</t>
        </is>
      </c>
      <c r="D145" s="16" t="inlineStr">
        <is>
          <t>금융서비스</t>
        </is>
      </c>
      <c r="E145" s="16" t="n">
        <v>69.7</v>
      </c>
      <c r="F145" s="16" t="inlineStr"/>
      <c r="G145" s="16" t="inlineStr">
        <is>
          <t>갈등 블록 근사 보정(+3.81)</t>
        </is>
      </c>
    </row>
    <row r="146">
      <c r="A146" s="16" t="inlineStr">
        <is>
          <t>2024(보정)|수혜|기타서비스</t>
        </is>
      </c>
      <c r="B146" s="16" t="inlineStr">
        <is>
          <t>2024(보정)</t>
        </is>
      </c>
      <c r="C146" s="16" t="inlineStr">
        <is>
          <t>수혜</t>
        </is>
      </c>
      <c r="D146" s="16" t="inlineStr">
        <is>
          <t>기타서비스</t>
        </is>
      </c>
      <c r="E146" s="16" t="n">
        <v>59.32</v>
      </c>
      <c r="F146" s="16" t="inlineStr"/>
      <c r="G146" s="16" t="inlineStr">
        <is>
          <t>갈등 블록 근사 보정(+3.81)</t>
        </is>
      </c>
    </row>
    <row r="147">
      <c r="A147" s="16" t="inlineStr">
        <is>
          <t>2024(보정)|수혜|노조 있음</t>
        </is>
      </c>
      <c r="B147" s="16" t="inlineStr">
        <is>
          <t>2024(보정)</t>
        </is>
      </c>
      <c r="C147" s="16" t="inlineStr">
        <is>
          <t>수혜</t>
        </is>
      </c>
      <c r="D147" s="16" t="inlineStr">
        <is>
          <t>노조 있음</t>
        </is>
      </c>
      <c r="E147" s="16" t="n">
        <v>74.53</v>
      </c>
      <c r="F147" s="16" t="inlineStr"/>
      <c r="G147" s="16" t="inlineStr">
        <is>
          <t>갈등 블록 근사 보정(+3.81)</t>
        </is>
      </c>
    </row>
    <row r="148">
      <c r="A148" s="16" t="inlineStr">
        <is>
          <t>2024(보정)|수혜|노조 없음</t>
        </is>
      </c>
      <c r="B148" s="16" t="inlineStr">
        <is>
          <t>2024(보정)</t>
        </is>
      </c>
      <c r="C148" s="16" t="inlineStr">
        <is>
          <t>수혜</t>
        </is>
      </c>
      <c r="D148" s="16" t="inlineStr">
        <is>
          <t>노조 없음</t>
        </is>
      </c>
      <c r="E148" s="16" t="n">
        <v>69.29000000000001</v>
      </c>
      <c r="F148" s="16" t="inlineStr"/>
      <c r="G148" s="16" t="inlineStr">
        <is>
          <t>갈등 블록 근사 보정(+3.81)</t>
        </is>
      </c>
    </row>
    <row r="149">
      <c r="A149" s="16" t="inlineStr">
        <is>
          <t>2024(보정)|일반|전체</t>
        </is>
      </c>
      <c r="B149" s="16" t="inlineStr">
        <is>
          <t>2024(보정)</t>
        </is>
      </c>
      <c r="C149" s="16" t="inlineStr">
        <is>
          <t>일반</t>
        </is>
      </c>
      <c r="D149" s="16" t="inlineStr">
        <is>
          <t>전체</t>
        </is>
      </c>
      <c r="E149" s="16" t="n">
        <v>66.95</v>
      </c>
      <c r="F149" s="16" t="inlineStr"/>
      <c r="G149" s="16" t="inlineStr">
        <is>
          <t>갈등 블록 근사 보정(+5.59)</t>
        </is>
      </c>
    </row>
    <row r="150">
      <c r="A150" s="16" t="inlineStr">
        <is>
          <t>2024(보정)|일반|50인 미만</t>
        </is>
      </c>
      <c r="B150" s="16" t="inlineStr">
        <is>
          <t>2024(보정)</t>
        </is>
      </c>
      <c r="C150" s="16" t="inlineStr">
        <is>
          <t>일반</t>
        </is>
      </c>
      <c r="D150" s="16" t="inlineStr">
        <is>
          <t>50인 미만</t>
        </is>
      </c>
      <c r="E150" s="16" t="n">
        <v>64.06999999999999</v>
      </c>
      <c r="F150" s="16" t="inlineStr"/>
      <c r="G150" s="16" t="inlineStr">
        <is>
          <t>갈등 블록 근사 보정(+5.59)</t>
        </is>
      </c>
    </row>
    <row r="151">
      <c r="A151" s="16" t="inlineStr">
        <is>
          <t>2024(보정)|일반|50~100인 미만</t>
        </is>
      </c>
      <c r="B151" s="16" t="inlineStr">
        <is>
          <t>2024(보정)</t>
        </is>
      </c>
      <c r="C151" s="16" t="inlineStr">
        <is>
          <t>일반</t>
        </is>
      </c>
      <c r="D151" s="16" t="inlineStr">
        <is>
          <t>50~100인 미만</t>
        </is>
      </c>
      <c r="E151" s="16" t="n">
        <v>66.61</v>
      </c>
      <c r="F151" s="16" t="inlineStr"/>
      <c r="G151" s="16" t="inlineStr">
        <is>
          <t>갈등 블록 근사 보정(+5.59)</t>
        </is>
      </c>
    </row>
    <row r="152">
      <c r="A152" s="16" t="inlineStr">
        <is>
          <t>2024(보정)|일반|100~300인 미만</t>
        </is>
      </c>
      <c r="B152" s="16" t="inlineStr">
        <is>
          <t>2024(보정)</t>
        </is>
      </c>
      <c r="C152" s="16" t="inlineStr">
        <is>
          <t>일반</t>
        </is>
      </c>
      <c r="D152" s="16" t="inlineStr">
        <is>
          <t>100~300인 미만</t>
        </is>
      </c>
      <c r="E152" s="16" t="n">
        <v>70.03</v>
      </c>
      <c r="F152" s="16" t="inlineStr"/>
      <c r="G152" s="16" t="inlineStr">
        <is>
          <t>갈등 블록 근사 보정(+5.59)</t>
        </is>
      </c>
    </row>
    <row r="153">
      <c r="A153" s="16" t="inlineStr">
        <is>
          <t>2024(보정)|일반|300인 이상</t>
        </is>
      </c>
      <c r="B153" s="16" t="inlineStr">
        <is>
          <t>2024(보정)</t>
        </is>
      </c>
      <c r="C153" s="16" t="inlineStr">
        <is>
          <t>일반</t>
        </is>
      </c>
      <c r="D153" s="16" t="inlineStr">
        <is>
          <t>300인 이상</t>
        </is>
      </c>
      <c r="E153" s="16" t="n">
        <v>74.38</v>
      </c>
      <c r="F153" s="16" t="inlineStr"/>
      <c r="G153" s="16" t="inlineStr">
        <is>
          <t>갈등 블록 근사 보정(+5.59)</t>
        </is>
      </c>
    </row>
    <row r="154">
      <c r="A154" s="16" t="inlineStr">
        <is>
          <t>2024(보정)|일반|제조업</t>
        </is>
      </c>
      <c r="B154" s="16" t="inlineStr">
        <is>
          <t>2024(보정)</t>
        </is>
      </c>
      <c r="C154" s="16" t="inlineStr">
        <is>
          <t>일반</t>
        </is>
      </c>
      <c r="D154" s="16" t="inlineStr">
        <is>
          <t>제조업</t>
        </is>
      </c>
      <c r="E154" s="16" t="n">
        <v>66.19</v>
      </c>
      <c r="F154" s="16" t="inlineStr"/>
      <c r="G154" s="16" t="inlineStr">
        <is>
          <t>갈등 블록 근사 보정(+5.59)</t>
        </is>
      </c>
    </row>
    <row r="155">
      <c r="A155" s="16" t="inlineStr">
        <is>
          <t>2024(보정)|일반|일반서비스</t>
        </is>
      </c>
      <c r="B155" s="16" t="inlineStr">
        <is>
          <t>2024(보정)</t>
        </is>
      </c>
      <c r="C155" s="16" t="inlineStr">
        <is>
          <t>일반</t>
        </is>
      </c>
      <c r="D155" s="16" t="inlineStr">
        <is>
          <t>일반서비스</t>
        </is>
      </c>
      <c r="E155" s="16" t="n">
        <v>66.84999999999999</v>
      </c>
      <c r="F155" s="16" t="inlineStr"/>
      <c r="G155" s="16" t="inlineStr">
        <is>
          <t>갈등 블록 근사 보정(+5.59)</t>
        </is>
      </c>
    </row>
    <row r="156">
      <c r="A156" s="16" t="inlineStr">
        <is>
          <t>2024(보정)|일반|공공행정서비스</t>
        </is>
      </c>
      <c r="B156" s="16" t="inlineStr">
        <is>
          <t>2024(보정)</t>
        </is>
      </c>
      <c r="C156" s="16" t="inlineStr">
        <is>
          <t>일반</t>
        </is>
      </c>
      <c r="D156" s="16" t="inlineStr">
        <is>
          <t>공공행정서비스</t>
        </is>
      </c>
      <c r="E156" s="16" t="n">
        <v>71.43000000000001</v>
      </c>
      <c r="F156" s="16" t="inlineStr"/>
      <c r="G156" s="16" t="inlineStr">
        <is>
          <t>갈등 블록 근사 보정(+5.59)</t>
        </is>
      </c>
    </row>
    <row r="157">
      <c r="A157" s="16" t="inlineStr">
        <is>
          <t>2024(보정)|일반|금융서비스</t>
        </is>
      </c>
      <c r="B157" s="16" t="inlineStr">
        <is>
          <t>2024(보정)</t>
        </is>
      </c>
      <c r="C157" s="16" t="inlineStr">
        <is>
          <t>일반</t>
        </is>
      </c>
      <c r="D157" s="16" t="inlineStr">
        <is>
          <t>금융서비스</t>
        </is>
      </c>
      <c r="E157" s="16" t="n">
        <v>65.78</v>
      </c>
      <c r="F157" s="16" t="inlineStr"/>
      <c r="G157" s="16" t="inlineStr">
        <is>
          <t>갈등 블록 근사 보정(+5.59)</t>
        </is>
      </c>
    </row>
    <row r="158">
      <c r="A158" s="16" t="inlineStr">
        <is>
          <t>2024(보정)|일반|기타서비스</t>
        </is>
      </c>
      <c r="B158" s="16" t="inlineStr">
        <is>
          <t>2024(보정)</t>
        </is>
      </c>
      <c r="C158" s="16" t="inlineStr">
        <is>
          <t>일반</t>
        </is>
      </c>
      <c r="D158" s="16" t="inlineStr">
        <is>
          <t>기타서비스</t>
        </is>
      </c>
      <c r="E158" s="16" t="n">
        <v>75.09999999999999</v>
      </c>
      <c r="F158" s="16" t="inlineStr"/>
      <c r="G158" s="16" t="inlineStr">
        <is>
          <t>갈등 블록 근사 보정(+5.59)</t>
        </is>
      </c>
    </row>
    <row r="159">
      <c r="A159" s="16" t="inlineStr">
        <is>
          <t>2024(보정)|일반|노조 있음</t>
        </is>
      </c>
      <c r="B159" s="16" t="inlineStr">
        <is>
          <t>2024(보정)</t>
        </is>
      </c>
      <c r="C159" s="16" t="inlineStr">
        <is>
          <t>일반</t>
        </is>
      </c>
      <c r="D159" s="16" t="inlineStr">
        <is>
          <t>노조 있음</t>
        </is>
      </c>
      <c r="E159" s="16" t="n">
        <v>68.92</v>
      </c>
      <c r="F159" s="16" t="inlineStr"/>
      <c r="G159" s="16" t="inlineStr">
        <is>
          <t>갈등 블록 근사 보정(+5.59)</t>
        </is>
      </c>
    </row>
    <row r="160">
      <c r="A160" s="16" t="inlineStr">
        <is>
          <t>2024(보정)|일반|노조 없음</t>
        </is>
      </c>
      <c r="B160" s="16" t="inlineStr">
        <is>
          <t>2024(보정)</t>
        </is>
      </c>
      <c r="C160" s="16" t="inlineStr">
        <is>
          <t>일반</t>
        </is>
      </c>
      <c r="D160" s="16" t="inlineStr">
        <is>
          <t>노조 없음</t>
        </is>
      </c>
      <c r="E160" s="16" t="n">
        <v>66.54000000000001</v>
      </c>
      <c r="F160" s="16" t="inlineStr"/>
      <c r="G160" s="16" t="inlineStr">
        <is>
          <t>갈등 블록 근사 보정(+5.59)</t>
        </is>
      </c>
    </row>
    <row r="162">
      <c r="A162" s="42" t="inlineStr">
        <is>
          <t>③ 문항별 공표 평균(1~5) · 문17 시행률/활성화 · 문18 발생률</t>
        </is>
      </c>
    </row>
    <row r="163">
      <c r="A163" s="11" t="inlineStr">
        <is>
          <t>키</t>
        </is>
      </c>
      <c r="B163" s="11" t="inlineStr">
        <is>
          <t>연도</t>
        </is>
      </c>
      <c r="C163" s="11" t="inlineStr">
        <is>
          <t>집단</t>
        </is>
      </c>
      <c r="D163" s="11" t="inlineStr">
        <is>
          <t>문항ID</t>
        </is>
      </c>
      <c r="E163" s="11" t="inlineStr">
        <is>
          <t>값</t>
        </is>
      </c>
      <c r="F163" s="11" t="inlineStr">
        <is>
          <t>단위</t>
        </is>
      </c>
      <c r="G163" s="11" t="inlineStr">
        <is>
          <t>비고</t>
        </is>
      </c>
    </row>
    <row r="164">
      <c r="A164" s="16" t="inlineStr">
        <is>
          <t>2024|수혜|Q16_1</t>
        </is>
      </c>
      <c r="B164" s="16" t="inlineStr">
        <is>
          <t>2024</t>
        </is>
      </c>
      <c r="C164" s="16" t="inlineStr">
        <is>
          <t>수혜</t>
        </is>
      </c>
      <c r="D164" s="16" t="inlineStr">
        <is>
          <t>Q16_1</t>
        </is>
      </c>
      <c r="E164" s="16" t="n">
        <v>3.57</v>
      </c>
      <c r="F164" s="16" t="inlineStr">
        <is>
          <t>평균(1~5)</t>
        </is>
      </c>
      <c r="G164" s="16" t="inlineStr"/>
    </row>
    <row r="165">
      <c r="A165" s="16" t="inlineStr">
        <is>
          <t>2024|수혜|Q16_2</t>
        </is>
      </c>
      <c r="B165" s="16" t="inlineStr">
        <is>
          <t>2024</t>
        </is>
      </c>
      <c r="C165" s="16" t="inlineStr">
        <is>
          <t>수혜</t>
        </is>
      </c>
      <c r="D165" s="16" t="inlineStr">
        <is>
          <t>Q16_2</t>
        </is>
      </c>
      <c r="E165" s="16" t="n">
        <v>3.58</v>
      </c>
      <c r="F165" s="16" t="inlineStr">
        <is>
          <t>평균(1~5)</t>
        </is>
      </c>
      <c r="G165" s="16" t="inlineStr"/>
    </row>
    <row r="166">
      <c r="A166" s="16" t="inlineStr">
        <is>
          <t>2024|수혜|Q16_3</t>
        </is>
      </c>
      <c r="B166" s="16" t="inlineStr">
        <is>
          <t>2024</t>
        </is>
      </c>
      <c r="C166" s="16" t="inlineStr">
        <is>
          <t>수혜</t>
        </is>
      </c>
      <c r="D166" s="16" t="inlineStr">
        <is>
          <t>Q16_3</t>
        </is>
      </c>
      <c r="E166" s="16" t="n">
        <v>3.93</v>
      </c>
      <c r="F166" s="16" t="inlineStr">
        <is>
          <t>평균(1~5)</t>
        </is>
      </c>
      <c r="G166" s="16" t="inlineStr"/>
    </row>
    <row r="167">
      <c r="A167" s="16" t="inlineStr">
        <is>
          <t>2024|수혜|Q16_4</t>
        </is>
      </c>
      <c r="B167" s="16" t="inlineStr">
        <is>
          <t>2024</t>
        </is>
      </c>
      <c r="C167" s="16" t="inlineStr">
        <is>
          <t>수혜</t>
        </is>
      </c>
      <c r="D167" s="16" t="inlineStr">
        <is>
          <t>Q16_4</t>
        </is>
      </c>
      <c r="E167" s="16" t="n">
        <v>3.83</v>
      </c>
      <c r="F167" s="16" t="inlineStr">
        <is>
          <t>평균(1~5)</t>
        </is>
      </c>
      <c r="G167" s="16" t="inlineStr"/>
    </row>
    <row r="168">
      <c r="A168" s="16" t="inlineStr">
        <is>
          <t>2024|수혜|Q24_1</t>
        </is>
      </c>
      <c r="B168" s="16" t="inlineStr">
        <is>
          <t>2024</t>
        </is>
      </c>
      <c r="C168" s="16" t="inlineStr">
        <is>
          <t>수혜</t>
        </is>
      </c>
      <c r="D168" s="16" t="inlineStr">
        <is>
          <t>Q24_1</t>
        </is>
      </c>
      <c r="E168" s="16" t="n">
        <v>3.7</v>
      </c>
      <c r="F168" s="16" t="inlineStr">
        <is>
          <t>평균(1~5)</t>
        </is>
      </c>
      <c r="G168" s="16" t="inlineStr"/>
    </row>
    <row r="169">
      <c r="A169" s="16" t="inlineStr">
        <is>
          <t>2024|수혜|Q24_2</t>
        </is>
      </c>
      <c r="B169" s="16" t="inlineStr">
        <is>
          <t>2024</t>
        </is>
      </c>
      <c r="C169" s="16" t="inlineStr">
        <is>
          <t>수혜</t>
        </is>
      </c>
      <c r="D169" s="16" t="inlineStr">
        <is>
          <t>Q24_2</t>
        </is>
      </c>
      <c r="E169" s="16" t="n">
        <v>3.79</v>
      </c>
      <c r="F169" s="16" t="inlineStr">
        <is>
          <t>평균(1~5)</t>
        </is>
      </c>
      <c r="G169" s="16" t="inlineStr"/>
    </row>
    <row r="170">
      <c r="A170" s="16" t="inlineStr">
        <is>
          <t>2024|수혜|Q24_3</t>
        </is>
      </c>
      <c r="B170" s="16" t="inlineStr">
        <is>
          <t>2024</t>
        </is>
      </c>
      <c r="C170" s="16" t="inlineStr">
        <is>
          <t>수혜</t>
        </is>
      </c>
      <c r="D170" s="16" t="inlineStr">
        <is>
          <t>Q24_3</t>
        </is>
      </c>
      <c r="E170" s="16" t="n">
        <v>3.72</v>
      </c>
      <c r="F170" s="16" t="inlineStr">
        <is>
          <t>평균(1~5)</t>
        </is>
      </c>
      <c r="G170" s="16" t="inlineStr"/>
    </row>
    <row r="171">
      <c r="A171" s="16" t="inlineStr">
        <is>
          <t>2024|수혜|Q24_4</t>
        </is>
      </c>
      <c r="B171" s="16" t="inlineStr">
        <is>
          <t>2024</t>
        </is>
      </c>
      <c r="C171" s="16" t="inlineStr">
        <is>
          <t>수혜</t>
        </is>
      </c>
      <c r="D171" s="16" t="inlineStr">
        <is>
          <t>Q24_4</t>
        </is>
      </c>
      <c r="E171" s="16" t="n">
        <v>3.65</v>
      </c>
      <c r="F171" s="16" t="inlineStr">
        <is>
          <t>평균(1~5)</t>
        </is>
      </c>
      <c r="G171" s="16" t="inlineStr"/>
    </row>
    <row r="172">
      <c r="A172" s="16" t="inlineStr">
        <is>
          <t>2024|수혜|Q24_5</t>
        </is>
      </c>
      <c r="B172" s="16" t="inlineStr">
        <is>
          <t>2024</t>
        </is>
      </c>
      <c r="C172" s="16" t="inlineStr">
        <is>
          <t>수혜</t>
        </is>
      </c>
      <c r="D172" s="16" t="inlineStr">
        <is>
          <t>Q24_5</t>
        </is>
      </c>
      <c r="E172" s="16" t="n">
        <v>3.73</v>
      </c>
      <c r="F172" s="16" t="inlineStr">
        <is>
          <t>평균(1~5)</t>
        </is>
      </c>
      <c r="G172" s="16" t="inlineStr"/>
    </row>
    <row r="173">
      <c r="A173" s="16" t="inlineStr">
        <is>
          <t>2024|수혜|Q21_1</t>
        </is>
      </c>
      <c r="B173" s="16" t="inlineStr">
        <is>
          <t>2024</t>
        </is>
      </c>
      <c r="C173" s="16" t="inlineStr">
        <is>
          <t>수혜</t>
        </is>
      </c>
      <c r="D173" s="16" t="inlineStr">
        <is>
          <t>Q21_1</t>
        </is>
      </c>
      <c r="E173" s="16" t="n">
        <v>3.64</v>
      </c>
      <c r="F173" s="16" t="inlineStr">
        <is>
          <t>평균(1~5)</t>
        </is>
      </c>
      <c r="G173" s="16" t="inlineStr"/>
    </row>
    <row r="174">
      <c r="A174" s="16" t="inlineStr">
        <is>
          <t>2024|수혜|Q21_2</t>
        </is>
      </c>
      <c r="B174" s="16" t="inlineStr">
        <is>
          <t>2024</t>
        </is>
      </c>
      <c r="C174" s="16" t="inlineStr">
        <is>
          <t>수혜</t>
        </is>
      </c>
      <c r="D174" s="16" t="inlineStr">
        <is>
          <t>Q21_2</t>
        </is>
      </c>
      <c r="E174" s="16" t="n">
        <v>3.41</v>
      </c>
      <c r="F174" s="16" t="inlineStr">
        <is>
          <t>평균(1~5)</t>
        </is>
      </c>
      <c r="G174" s="16" t="inlineStr"/>
    </row>
    <row r="175">
      <c r="A175" s="16" t="inlineStr">
        <is>
          <t>2024|수혜|Q21_3</t>
        </is>
      </c>
      <c r="B175" s="16" t="inlineStr">
        <is>
          <t>2024</t>
        </is>
      </c>
      <c r="C175" s="16" t="inlineStr">
        <is>
          <t>수혜</t>
        </is>
      </c>
      <c r="D175" s="16" t="inlineStr">
        <is>
          <t>Q21_3</t>
        </is>
      </c>
      <c r="E175" s="16" t="n">
        <v>3.46</v>
      </c>
      <c r="F175" s="16" t="inlineStr">
        <is>
          <t>평균(1~5)</t>
        </is>
      </c>
      <c r="G175" s="16" t="inlineStr"/>
    </row>
    <row r="176">
      <c r="A176" s="16" t="inlineStr">
        <is>
          <t>2024|수혜|Q21_4</t>
        </is>
      </c>
      <c r="B176" s="16" t="inlineStr">
        <is>
          <t>2024</t>
        </is>
      </c>
      <c r="C176" s="16" t="inlineStr">
        <is>
          <t>수혜</t>
        </is>
      </c>
      <c r="D176" s="16" t="inlineStr">
        <is>
          <t>Q21_4</t>
        </is>
      </c>
      <c r="E176" s="16" t="n">
        <v>3.57</v>
      </c>
      <c r="F176" s="16" t="inlineStr">
        <is>
          <t>평균(1~5)</t>
        </is>
      </c>
      <c r="G176" s="16" t="inlineStr"/>
    </row>
    <row r="177">
      <c r="A177" s="16" t="inlineStr">
        <is>
          <t>2024|수혜|Q21_5</t>
        </is>
      </c>
      <c r="B177" s="16" t="inlineStr">
        <is>
          <t>2024</t>
        </is>
      </c>
      <c r="C177" s="16" t="inlineStr">
        <is>
          <t>수혜</t>
        </is>
      </c>
      <c r="D177" s="16" t="inlineStr">
        <is>
          <t>Q21_5</t>
        </is>
      </c>
      <c r="E177" s="16" t="n">
        <v>3.37</v>
      </c>
      <c r="F177" s="16" t="inlineStr">
        <is>
          <t>평균(1~5)</t>
        </is>
      </c>
      <c r="G177" s="16" t="inlineStr"/>
    </row>
    <row r="178">
      <c r="A178" s="16" t="inlineStr">
        <is>
          <t>2024|수혜|Q22_1</t>
        </is>
      </c>
      <c r="B178" s="16" t="inlineStr">
        <is>
          <t>2024</t>
        </is>
      </c>
      <c r="C178" s="16" t="inlineStr">
        <is>
          <t>수혜</t>
        </is>
      </c>
      <c r="D178" s="16" t="inlineStr">
        <is>
          <t>Q22_1</t>
        </is>
      </c>
      <c r="E178" s="16" t="n">
        <v>3.55</v>
      </c>
      <c r="F178" s="16" t="inlineStr">
        <is>
          <t>평균(1~5)</t>
        </is>
      </c>
      <c r="G178" s="16" t="inlineStr"/>
    </row>
    <row r="179">
      <c r="A179" s="16" t="inlineStr">
        <is>
          <t>2024|수혜|Q22_2</t>
        </is>
      </c>
      <c r="B179" s="16" t="inlineStr">
        <is>
          <t>2024</t>
        </is>
      </c>
      <c r="C179" s="16" t="inlineStr">
        <is>
          <t>수혜</t>
        </is>
      </c>
      <c r="D179" s="16" t="inlineStr">
        <is>
          <t>Q22_2</t>
        </is>
      </c>
      <c r="E179" s="16" t="n">
        <v>3.31</v>
      </c>
      <c r="F179" s="16" t="inlineStr">
        <is>
          <t>평균(1~5)</t>
        </is>
      </c>
      <c r="G179" s="16" t="inlineStr"/>
    </row>
    <row r="180">
      <c r="A180" s="16" t="inlineStr">
        <is>
          <t>2024|수혜|Q22_3</t>
        </is>
      </c>
      <c r="B180" s="16" t="inlineStr">
        <is>
          <t>2024</t>
        </is>
      </c>
      <c r="C180" s="16" t="inlineStr">
        <is>
          <t>수혜</t>
        </is>
      </c>
      <c r="D180" s="16" t="inlineStr">
        <is>
          <t>Q22_3</t>
        </is>
      </c>
      <c r="E180" s="16" t="n">
        <v>3.43</v>
      </c>
      <c r="F180" s="16" t="inlineStr">
        <is>
          <t>평균(1~5)</t>
        </is>
      </c>
      <c r="G180" s="16" t="inlineStr"/>
    </row>
    <row r="181">
      <c r="A181" s="16" t="inlineStr">
        <is>
          <t>2024|수혜|Q22_4</t>
        </is>
      </c>
      <c r="B181" s="16" t="inlineStr">
        <is>
          <t>2024</t>
        </is>
      </c>
      <c r="C181" s="16" t="inlineStr">
        <is>
          <t>수혜</t>
        </is>
      </c>
      <c r="D181" s="16" t="inlineStr">
        <is>
          <t>Q22_4</t>
        </is>
      </c>
      <c r="E181" s="16" t="n">
        <v>3.44</v>
      </c>
      <c r="F181" s="16" t="inlineStr">
        <is>
          <t>평균(1~5)</t>
        </is>
      </c>
      <c r="G181" s="16" t="inlineStr"/>
    </row>
    <row r="182">
      <c r="A182" s="16" t="inlineStr">
        <is>
          <t>2024|수혜|Q19_1</t>
        </is>
      </c>
      <c r="B182" s="16" t="inlineStr">
        <is>
          <t>2024</t>
        </is>
      </c>
      <c r="C182" s="16" t="inlineStr">
        <is>
          <t>수혜</t>
        </is>
      </c>
      <c r="D182" s="16" t="inlineStr">
        <is>
          <t>Q19_1</t>
        </is>
      </c>
      <c r="E182" s="16" t="n">
        <v>3.62</v>
      </c>
      <c r="F182" s="16" t="inlineStr">
        <is>
          <t>평균(1~5)</t>
        </is>
      </c>
      <c r="G182" s="16" t="inlineStr"/>
    </row>
    <row r="183">
      <c r="A183" s="16" t="inlineStr">
        <is>
          <t>2024|수혜|Q19_2</t>
        </is>
      </c>
      <c r="B183" s="16" t="inlineStr">
        <is>
          <t>2024</t>
        </is>
      </c>
      <c r="C183" s="16" t="inlineStr">
        <is>
          <t>수혜</t>
        </is>
      </c>
      <c r="D183" s="16" t="inlineStr">
        <is>
          <t>Q19_2</t>
        </is>
      </c>
      <c r="E183" s="16" t="n">
        <v>3.6</v>
      </c>
      <c r="F183" s="16" t="inlineStr">
        <is>
          <t>평균(1~5)</t>
        </is>
      </c>
      <c r="G183" s="16" t="inlineStr"/>
    </row>
    <row r="184">
      <c r="A184" s="16" t="inlineStr">
        <is>
          <t>2024|수혜|Q19_3</t>
        </is>
      </c>
      <c r="B184" s="16" t="inlineStr">
        <is>
          <t>2024</t>
        </is>
      </c>
      <c r="C184" s="16" t="inlineStr">
        <is>
          <t>수혜</t>
        </is>
      </c>
      <c r="D184" s="16" t="inlineStr">
        <is>
          <t>Q19_3</t>
        </is>
      </c>
      <c r="E184" s="16" t="n">
        <v>3.56</v>
      </c>
      <c r="F184" s="16" t="inlineStr">
        <is>
          <t>평균(1~5)</t>
        </is>
      </c>
      <c r="G184" s="16" t="inlineStr"/>
    </row>
    <row r="185">
      <c r="A185" s="16" t="inlineStr">
        <is>
          <t>2024|수혜|Q19_4</t>
        </is>
      </c>
      <c r="B185" s="16" t="inlineStr">
        <is>
          <t>2024</t>
        </is>
      </c>
      <c r="C185" s="16" t="inlineStr">
        <is>
          <t>수혜</t>
        </is>
      </c>
      <c r="D185" s="16" t="inlineStr">
        <is>
          <t>Q19_4</t>
        </is>
      </c>
      <c r="E185" s="16" t="n">
        <v>3.36</v>
      </c>
      <c r="F185" s="16" t="inlineStr">
        <is>
          <t>평균(1~5)</t>
        </is>
      </c>
      <c r="G185" s="16" t="inlineStr"/>
    </row>
    <row r="186">
      <c r="A186" s="16" t="inlineStr">
        <is>
          <t>2024|수혜|Q23_1</t>
        </is>
      </c>
      <c r="B186" s="16" t="inlineStr">
        <is>
          <t>2024</t>
        </is>
      </c>
      <c r="C186" s="16" t="inlineStr">
        <is>
          <t>수혜</t>
        </is>
      </c>
      <c r="D186" s="16" t="inlineStr">
        <is>
          <t>Q23_1</t>
        </is>
      </c>
      <c r="E186" s="16" t="n">
        <v>3.27</v>
      </c>
      <c r="F186" s="16" t="inlineStr">
        <is>
          <t>평균(1~5)</t>
        </is>
      </c>
      <c r="G186" s="16" t="inlineStr"/>
    </row>
    <row r="187">
      <c r="A187" s="16" t="inlineStr">
        <is>
          <t>2024|수혜|Q23_2</t>
        </is>
      </c>
      <c r="B187" s="16" t="inlineStr">
        <is>
          <t>2024</t>
        </is>
      </c>
      <c r="C187" s="16" t="inlineStr">
        <is>
          <t>수혜</t>
        </is>
      </c>
      <c r="D187" s="16" t="inlineStr">
        <is>
          <t>Q23_2</t>
        </is>
      </c>
      <c r="E187" s="16" t="n">
        <v>3.4</v>
      </c>
      <c r="F187" s="16" t="inlineStr">
        <is>
          <t>평균(1~5)</t>
        </is>
      </c>
      <c r="G187" s="16" t="inlineStr"/>
    </row>
    <row r="188">
      <c r="A188" s="16" t="inlineStr">
        <is>
          <t>2024|수혜|Q23_3</t>
        </is>
      </c>
      <c r="B188" s="16" t="inlineStr">
        <is>
          <t>2024</t>
        </is>
      </c>
      <c r="C188" s="16" t="inlineStr">
        <is>
          <t>수혜</t>
        </is>
      </c>
      <c r="D188" s="16" t="inlineStr">
        <is>
          <t>Q23_3</t>
        </is>
      </c>
      <c r="E188" s="16" t="n">
        <v>3.57</v>
      </c>
      <c r="F188" s="16" t="inlineStr">
        <is>
          <t>평균(1~5)</t>
        </is>
      </c>
      <c r="G188" s="16" t="inlineStr"/>
    </row>
    <row r="189">
      <c r="A189" s="16" t="inlineStr">
        <is>
          <t>2024|수혜|Q23_4</t>
        </is>
      </c>
      <c r="B189" s="16" t="inlineStr">
        <is>
          <t>2024</t>
        </is>
      </c>
      <c r="C189" s="16" t="inlineStr">
        <is>
          <t>수혜</t>
        </is>
      </c>
      <c r="D189" s="16" t="inlineStr">
        <is>
          <t>Q23_4</t>
        </is>
      </c>
      <c r="E189" s="16" t="n">
        <v>3.65</v>
      </c>
      <c r="F189" s="16" t="inlineStr">
        <is>
          <t>평균(1~5)</t>
        </is>
      </c>
      <c r="G189" s="16" t="inlineStr"/>
    </row>
    <row r="190">
      <c r="A190" s="16" t="inlineStr">
        <is>
          <t>2024|수혜|Q23_5</t>
        </is>
      </c>
      <c r="B190" s="16" t="inlineStr">
        <is>
          <t>2024</t>
        </is>
      </c>
      <c r="C190" s="16" t="inlineStr">
        <is>
          <t>수혜</t>
        </is>
      </c>
      <c r="D190" s="16" t="inlineStr">
        <is>
          <t>Q23_5</t>
        </is>
      </c>
      <c r="E190" s="16" t="n">
        <v>3.35</v>
      </c>
      <c r="F190" s="16" t="inlineStr">
        <is>
          <t>평균(1~5)</t>
        </is>
      </c>
      <c r="G190" s="16" t="inlineStr"/>
    </row>
    <row r="191">
      <c r="A191" s="16" t="inlineStr">
        <is>
          <t>2024|일반|Q16_1</t>
        </is>
      </c>
      <c r="B191" s="16" t="inlineStr">
        <is>
          <t>2024</t>
        </is>
      </c>
      <c r="C191" s="16" t="inlineStr">
        <is>
          <t>일반</t>
        </is>
      </c>
      <c r="D191" s="16" t="inlineStr">
        <is>
          <t>Q16_1</t>
        </is>
      </c>
      <c r="E191" s="16" t="n">
        <v>3.49</v>
      </c>
      <c r="F191" s="16" t="inlineStr">
        <is>
          <t>평균(1~5)</t>
        </is>
      </c>
      <c r="G191" s="16" t="inlineStr"/>
    </row>
    <row r="192">
      <c r="A192" s="16" t="inlineStr">
        <is>
          <t>2024|일반|Q16_2</t>
        </is>
      </c>
      <c r="B192" s="16" t="inlineStr">
        <is>
          <t>2024</t>
        </is>
      </c>
      <c r="C192" s="16" t="inlineStr">
        <is>
          <t>일반</t>
        </is>
      </c>
      <c r="D192" s="16" t="inlineStr">
        <is>
          <t>Q16_2</t>
        </is>
      </c>
      <c r="E192" s="16" t="n">
        <v>3.48</v>
      </c>
      <c r="F192" s="16" t="inlineStr">
        <is>
          <t>평균(1~5)</t>
        </is>
      </c>
      <c r="G192" s="16" t="inlineStr"/>
    </row>
    <row r="193">
      <c r="A193" s="16" t="inlineStr">
        <is>
          <t>2024|일반|Q16_3</t>
        </is>
      </c>
      <c r="B193" s="16" t="inlineStr">
        <is>
          <t>2024</t>
        </is>
      </c>
      <c r="C193" s="16" t="inlineStr">
        <is>
          <t>일반</t>
        </is>
      </c>
      <c r="D193" s="16" t="inlineStr">
        <is>
          <t>Q16_3</t>
        </is>
      </c>
      <c r="E193" s="16" t="n">
        <v>3.76</v>
      </c>
      <c r="F193" s="16" t="inlineStr">
        <is>
          <t>평균(1~5)</t>
        </is>
      </c>
      <c r="G193" s="16" t="inlineStr"/>
    </row>
    <row r="194">
      <c r="A194" s="16" t="inlineStr">
        <is>
          <t>2024|일반|Q16_4</t>
        </is>
      </c>
      <c r="B194" s="16" t="inlineStr">
        <is>
          <t>2024</t>
        </is>
      </c>
      <c r="C194" s="16" t="inlineStr">
        <is>
          <t>일반</t>
        </is>
      </c>
      <c r="D194" s="16" t="inlineStr">
        <is>
          <t>Q16_4</t>
        </is>
      </c>
      <c r="E194" s="16" t="n">
        <v>3.69</v>
      </c>
      <c r="F194" s="16" t="inlineStr">
        <is>
          <t>평균(1~5)</t>
        </is>
      </c>
      <c r="G194" s="16" t="inlineStr"/>
    </row>
    <row r="195">
      <c r="A195" s="16" t="inlineStr">
        <is>
          <t>2024|일반|Q24_1</t>
        </is>
      </c>
      <c r="B195" s="16" t="inlineStr">
        <is>
          <t>2024</t>
        </is>
      </c>
      <c r="C195" s="16" t="inlineStr">
        <is>
          <t>일반</t>
        </is>
      </c>
      <c r="D195" s="16" t="inlineStr">
        <is>
          <t>Q24_1</t>
        </is>
      </c>
      <c r="E195" s="16" t="n">
        <v>3.39</v>
      </c>
      <c r="F195" s="16" t="inlineStr">
        <is>
          <t>평균(1~5)</t>
        </is>
      </c>
      <c r="G195" s="16" t="inlineStr"/>
    </row>
    <row r="196">
      <c r="A196" s="16" t="inlineStr">
        <is>
          <t>2024|일반|Q24_2</t>
        </is>
      </c>
      <c r="B196" s="16" t="inlineStr">
        <is>
          <t>2024</t>
        </is>
      </c>
      <c r="C196" s="16" t="inlineStr">
        <is>
          <t>일반</t>
        </is>
      </c>
      <c r="D196" s="16" t="inlineStr">
        <is>
          <t>Q24_2</t>
        </is>
      </c>
      <c r="E196" s="16" t="n">
        <v>3.53</v>
      </c>
      <c r="F196" s="16" t="inlineStr">
        <is>
          <t>평균(1~5)</t>
        </is>
      </c>
      <c r="G196" s="16" t="inlineStr"/>
    </row>
    <row r="197">
      <c r="A197" s="16" t="inlineStr">
        <is>
          <t>2024|일반|Q24_3</t>
        </is>
      </c>
      <c r="B197" s="16" t="inlineStr">
        <is>
          <t>2024</t>
        </is>
      </c>
      <c r="C197" s="16" t="inlineStr">
        <is>
          <t>일반</t>
        </is>
      </c>
      <c r="D197" s="16" t="inlineStr">
        <is>
          <t>Q24_3</t>
        </is>
      </c>
      <c r="E197" s="16" t="n">
        <v>3.45</v>
      </c>
      <c r="F197" s="16" t="inlineStr">
        <is>
          <t>평균(1~5)</t>
        </is>
      </c>
      <c r="G197" s="16" t="inlineStr"/>
    </row>
    <row r="198">
      <c r="A198" s="16" t="inlineStr">
        <is>
          <t>2024|일반|Q24_4</t>
        </is>
      </c>
      <c r="B198" s="16" t="inlineStr">
        <is>
          <t>2024</t>
        </is>
      </c>
      <c r="C198" s="16" t="inlineStr">
        <is>
          <t>일반</t>
        </is>
      </c>
      <c r="D198" s="16" t="inlineStr">
        <is>
          <t>Q24_4</t>
        </is>
      </c>
      <c r="E198" s="16" t="n">
        <v>3.38</v>
      </c>
      <c r="F198" s="16" t="inlineStr">
        <is>
          <t>평균(1~5)</t>
        </is>
      </c>
      <c r="G198" s="16" t="inlineStr"/>
    </row>
    <row r="199">
      <c r="A199" s="16" t="inlineStr">
        <is>
          <t>2024|일반|Q24_5</t>
        </is>
      </c>
      <c r="B199" s="16" t="inlineStr">
        <is>
          <t>2024</t>
        </is>
      </c>
      <c r="C199" s="16" t="inlineStr">
        <is>
          <t>일반</t>
        </is>
      </c>
      <c r="D199" s="16" t="inlineStr">
        <is>
          <t>Q24_5</t>
        </is>
      </c>
      <c r="E199" s="16" t="n">
        <v>3.4</v>
      </c>
      <c r="F199" s="16" t="inlineStr">
        <is>
          <t>평균(1~5)</t>
        </is>
      </c>
      <c r="G199" s="16" t="inlineStr"/>
    </row>
    <row r="200">
      <c r="A200" s="16" t="inlineStr">
        <is>
          <t>2024|일반|Q21_1</t>
        </is>
      </c>
      <c r="B200" s="16" t="inlineStr">
        <is>
          <t>2024</t>
        </is>
      </c>
      <c r="C200" s="16" t="inlineStr">
        <is>
          <t>일반</t>
        </is>
      </c>
      <c r="D200" s="16" t="inlineStr">
        <is>
          <t>Q21_1</t>
        </is>
      </c>
      <c r="E200" s="16" t="n">
        <v>3.48</v>
      </c>
      <c r="F200" s="16" t="inlineStr">
        <is>
          <t>평균(1~5)</t>
        </is>
      </c>
      <c r="G200" s="16" t="inlineStr"/>
    </row>
    <row r="201">
      <c r="A201" s="16" t="inlineStr">
        <is>
          <t>2024|일반|Q21_2</t>
        </is>
      </c>
      <c r="B201" s="16" t="inlineStr">
        <is>
          <t>2024</t>
        </is>
      </c>
      <c r="C201" s="16" t="inlineStr">
        <is>
          <t>일반</t>
        </is>
      </c>
      <c r="D201" s="16" t="inlineStr">
        <is>
          <t>Q21_2</t>
        </is>
      </c>
      <c r="E201" s="16" t="n">
        <v>3.27</v>
      </c>
      <c r="F201" s="16" t="inlineStr">
        <is>
          <t>평균(1~5)</t>
        </is>
      </c>
      <c r="G201" s="16" t="inlineStr"/>
    </row>
    <row r="202">
      <c r="A202" s="16" t="inlineStr">
        <is>
          <t>2024|일반|Q21_3</t>
        </is>
      </c>
      <c r="B202" s="16" t="inlineStr">
        <is>
          <t>2024</t>
        </is>
      </c>
      <c r="C202" s="16" t="inlineStr">
        <is>
          <t>일반</t>
        </is>
      </c>
      <c r="D202" s="16" t="inlineStr">
        <is>
          <t>Q21_3</t>
        </is>
      </c>
      <c r="E202" s="16" t="n">
        <v>3.34</v>
      </c>
      <c r="F202" s="16" t="inlineStr">
        <is>
          <t>평균(1~5)</t>
        </is>
      </c>
      <c r="G202" s="16" t="inlineStr"/>
    </row>
    <row r="203">
      <c r="A203" s="16" t="inlineStr">
        <is>
          <t>2024|일반|Q21_4</t>
        </is>
      </c>
      <c r="B203" s="16" t="inlineStr">
        <is>
          <t>2024</t>
        </is>
      </c>
      <c r="C203" s="16" t="inlineStr">
        <is>
          <t>일반</t>
        </is>
      </c>
      <c r="D203" s="16" t="inlineStr">
        <is>
          <t>Q21_4</t>
        </is>
      </c>
      <c r="E203" s="16" t="n">
        <v>3.45</v>
      </c>
      <c r="F203" s="16" t="inlineStr">
        <is>
          <t>평균(1~5)</t>
        </is>
      </c>
      <c r="G203" s="16" t="inlineStr"/>
    </row>
    <row r="204">
      <c r="A204" s="16" t="inlineStr">
        <is>
          <t>2024|일반|Q21_5</t>
        </is>
      </c>
      <c r="B204" s="16" t="inlineStr">
        <is>
          <t>2024</t>
        </is>
      </c>
      <c r="C204" s="16" t="inlineStr">
        <is>
          <t>일반</t>
        </is>
      </c>
      <c r="D204" s="16" t="inlineStr">
        <is>
          <t>Q21_5</t>
        </is>
      </c>
      <c r="E204" s="16" t="n">
        <v>3.24</v>
      </c>
      <c r="F204" s="16" t="inlineStr">
        <is>
          <t>평균(1~5)</t>
        </is>
      </c>
      <c r="G204" s="16" t="inlineStr"/>
    </row>
    <row r="205">
      <c r="A205" s="16" t="inlineStr">
        <is>
          <t>2024|일반|Q22_1</t>
        </is>
      </c>
      <c r="B205" s="16" t="inlineStr">
        <is>
          <t>2024</t>
        </is>
      </c>
      <c r="C205" s="16" t="inlineStr">
        <is>
          <t>일반</t>
        </is>
      </c>
      <c r="D205" s="16" t="inlineStr">
        <is>
          <t>Q22_1</t>
        </is>
      </c>
      <c r="E205" s="16" t="n">
        <v>3.48</v>
      </c>
      <c r="F205" s="16" t="inlineStr">
        <is>
          <t>평균(1~5)</t>
        </is>
      </c>
      <c r="G205" s="16" t="inlineStr"/>
    </row>
    <row r="206">
      <c r="A206" s="16" t="inlineStr">
        <is>
          <t>2024|일반|Q22_2</t>
        </is>
      </c>
      <c r="B206" s="16" t="inlineStr">
        <is>
          <t>2024</t>
        </is>
      </c>
      <c r="C206" s="16" t="inlineStr">
        <is>
          <t>일반</t>
        </is>
      </c>
      <c r="D206" s="16" t="inlineStr">
        <is>
          <t>Q22_2</t>
        </is>
      </c>
      <c r="E206" s="16" t="n">
        <v>3.26</v>
      </c>
      <c r="F206" s="16" t="inlineStr">
        <is>
          <t>평균(1~5)</t>
        </is>
      </c>
      <c r="G206" s="16" t="inlineStr"/>
    </row>
    <row r="207">
      <c r="A207" s="16" t="inlineStr">
        <is>
          <t>2024|일반|Q22_3</t>
        </is>
      </c>
      <c r="B207" s="16" t="inlineStr">
        <is>
          <t>2024</t>
        </is>
      </c>
      <c r="C207" s="16" t="inlineStr">
        <is>
          <t>일반</t>
        </is>
      </c>
      <c r="D207" s="16" t="inlineStr">
        <is>
          <t>Q22_3</t>
        </is>
      </c>
      <c r="E207" s="16" t="n">
        <v>3.31</v>
      </c>
      <c r="F207" s="16" t="inlineStr">
        <is>
          <t>평균(1~5)</t>
        </is>
      </c>
      <c r="G207" s="16" t="inlineStr"/>
    </row>
    <row r="208">
      <c r="A208" s="16" t="inlineStr">
        <is>
          <t>2024|일반|Q22_4</t>
        </is>
      </c>
      <c r="B208" s="16" t="inlineStr">
        <is>
          <t>2024</t>
        </is>
      </c>
      <c r="C208" s="16" t="inlineStr">
        <is>
          <t>일반</t>
        </is>
      </c>
      <c r="D208" s="16" t="inlineStr">
        <is>
          <t>Q22_4</t>
        </is>
      </c>
      <c r="E208" s="16" t="n">
        <v>3.41</v>
      </c>
      <c r="F208" s="16" t="inlineStr">
        <is>
          <t>평균(1~5)</t>
        </is>
      </c>
      <c r="G208" s="16" t="inlineStr"/>
    </row>
    <row r="209">
      <c r="A209" s="16" t="inlineStr">
        <is>
          <t>2024|일반|Q19_1</t>
        </is>
      </c>
      <c r="B209" s="16" t="inlineStr">
        <is>
          <t>2024</t>
        </is>
      </c>
      <c r="C209" s="16" t="inlineStr">
        <is>
          <t>일반</t>
        </is>
      </c>
      <c r="D209" s="16" t="inlineStr">
        <is>
          <t>Q19_1</t>
        </is>
      </c>
      <c r="E209" s="16" t="n">
        <v>3.55</v>
      </c>
      <c r="F209" s="16" t="inlineStr">
        <is>
          <t>평균(1~5)</t>
        </is>
      </c>
      <c r="G209" s="16" t="inlineStr"/>
    </row>
    <row r="210">
      <c r="A210" s="16" t="inlineStr">
        <is>
          <t>2024|일반|Q19_2</t>
        </is>
      </c>
      <c r="B210" s="16" t="inlineStr">
        <is>
          <t>2024</t>
        </is>
      </c>
      <c r="C210" s="16" t="inlineStr">
        <is>
          <t>일반</t>
        </is>
      </c>
      <c r="D210" s="16" t="inlineStr">
        <is>
          <t>Q19_2</t>
        </is>
      </c>
      <c r="E210" s="16" t="n">
        <v>3.54</v>
      </c>
      <c r="F210" s="16" t="inlineStr">
        <is>
          <t>평균(1~5)</t>
        </is>
      </c>
      <c r="G210" s="16" t="inlineStr"/>
    </row>
    <row r="211">
      <c r="A211" s="16" t="inlineStr">
        <is>
          <t>2024|일반|Q19_3</t>
        </is>
      </c>
      <c r="B211" s="16" t="inlineStr">
        <is>
          <t>2024</t>
        </is>
      </c>
      <c r="C211" s="16" t="inlineStr">
        <is>
          <t>일반</t>
        </is>
      </c>
      <c r="D211" s="16" t="inlineStr">
        <is>
          <t>Q19_3</t>
        </is>
      </c>
      <c r="E211" s="16" t="n">
        <v>3.48</v>
      </c>
      <c r="F211" s="16" t="inlineStr">
        <is>
          <t>평균(1~5)</t>
        </is>
      </c>
      <c r="G211" s="16" t="inlineStr"/>
    </row>
    <row r="212">
      <c r="A212" s="16" t="inlineStr">
        <is>
          <t>2024|일반|Q19_4</t>
        </is>
      </c>
      <c r="B212" s="16" t="inlineStr">
        <is>
          <t>2024</t>
        </is>
      </c>
      <c r="C212" s="16" t="inlineStr">
        <is>
          <t>일반</t>
        </is>
      </c>
      <c r="D212" s="16" t="inlineStr">
        <is>
          <t>Q19_4</t>
        </is>
      </c>
      <c r="E212" s="16" t="n">
        <v>3.38</v>
      </c>
      <c r="F212" s="16" t="inlineStr">
        <is>
          <t>평균(1~5)</t>
        </is>
      </c>
      <c r="G212" s="16" t="inlineStr"/>
    </row>
    <row r="213">
      <c r="A213" s="16" t="inlineStr">
        <is>
          <t>2024|일반|Q23_1</t>
        </is>
      </c>
      <c r="B213" s="16" t="inlineStr">
        <is>
          <t>2024</t>
        </is>
      </c>
      <c r="C213" s="16" t="inlineStr">
        <is>
          <t>일반</t>
        </is>
      </c>
      <c r="D213" s="16" t="inlineStr">
        <is>
          <t>Q23_1</t>
        </is>
      </c>
      <c r="E213" s="16" t="n">
        <v>3.18</v>
      </c>
      <c r="F213" s="16" t="inlineStr">
        <is>
          <t>평균(1~5)</t>
        </is>
      </c>
      <c r="G213" s="16" t="inlineStr"/>
    </row>
    <row r="214">
      <c r="A214" s="16" t="inlineStr">
        <is>
          <t>2024|일반|Q23_2</t>
        </is>
      </c>
      <c r="B214" s="16" t="inlineStr">
        <is>
          <t>2024</t>
        </is>
      </c>
      <c r="C214" s="16" t="inlineStr">
        <is>
          <t>일반</t>
        </is>
      </c>
      <c r="D214" s="16" t="inlineStr">
        <is>
          <t>Q23_2</t>
        </is>
      </c>
      <c r="E214" s="16" t="n">
        <v>3.24</v>
      </c>
      <c r="F214" s="16" t="inlineStr">
        <is>
          <t>평균(1~5)</t>
        </is>
      </c>
      <c r="G214" s="16" t="inlineStr"/>
    </row>
    <row r="215">
      <c r="A215" s="16" t="inlineStr">
        <is>
          <t>2024|일반|Q23_3</t>
        </is>
      </c>
      <c r="B215" s="16" t="inlineStr">
        <is>
          <t>2024</t>
        </is>
      </c>
      <c r="C215" s="16" t="inlineStr">
        <is>
          <t>일반</t>
        </is>
      </c>
      <c r="D215" s="16" t="inlineStr">
        <is>
          <t>Q23_3</t>
        </is>
      </c>
      <c r="E215" s="16" t="n">
        <v>3.46</v>
      </c>
      <c r="F215" s="16" t="inlineStr">
        <is>
          <t>평균(1~5)</t>
        </is>
      </c>
      <c r="G215" s="16" t="inlineStr"/>
    </row>
    <row r="216">
      <c r="A216" s="16" t="inlineStr">
        <is>
          <t>2024|일반|Q23_4</t>
        </is>
      </c>
      <c r="B216" s="16" t="inlineStr">
        <is>
          <t>2024</t>
        </is>
      </c>
      <c r="C216" s="16" t="inlineStr">
        <is>
          <t>일반</t>
        </is>
      </c>
      <c r="D216" s="16" t="inlineStr">
        <is>
          <t>Q23_4</t>
        </is>
      </c>
      <c r="E216" s="16" t="n">
        <v>3.49</v>
      </c>
      <c r="F216" s="16" t="inlineStr">
        <is>
          <t>평균(1~5)</t>
        </is>
      </c>
      <c r="G216" s="16" t="inlineStr"/>
    </row>
    <row r="217">
      <c r="A217" s="16" t="inlineStr">
        <is>
          <t>2024|일반|Q23_5</t>
        </is>
      </c>
      <c r="B217" s="16" t="inlineStr">
        <is>
          <t>2024</t>
        </is>
      </c>
      <c r="C217" s="16" t="inlineStr">
        <is>
          <t>일반</t>
        </is>
      </c>
      <c r="D217" s="16" t="inlineStr">
        <is>
          <t>Q23_5</t>
        </is>
      </c>
      <c r="E217" s="16" t="n">
        <v>3.3</v>
      </c>
      <c r="F217" s="16" t="inlineStr">
        <is>
          <t>평균(1~5)</t>
        </is>
      </c>
      <c r="G217" s="16" t="inlineStr"/>
    </row>
    <row r="218">
      <c r="A218" s="16" t="inlineStr">
        <is>
          <t>2023|수혜|Q16_1</t>
        </is>
      </c>
      <c r="B218" s="16" t="inlineStr">
        <is>
          <t>2023</t>
        </is>
      </c>
      <c r="C218" s="16" t="inlineStr">
        <is>
          <t>수혜</t>
        </is>
      </c>
      <c r="D218" s="16" t="inlineStr">
        <is>
          <t>Q16_1</t>
        </is>
      </c>
      <c r="E218" s="16" t="n">
        <v>3.54</v>
      </c>
      <c r="F218" s="16" t="inlineStr">
        <is>
          <t>평균(1~5)</t>
        </is>
      </c>
      <c r="G218" s="16" t="inlineStr"/>
    </row>
    <row r="219">
      <c r="A219" s="16" t="inlineStr">
        <is>
          <t>2023|수혜|Q16_2</t>
        </is>
      </c>
      <c r="B219" s="16" t="inlineStr">
        <is>
          <t>2023</t>
        </is>
      </c>
      <c r="C219" s="16" t="inlineStr">
        <is>
          <t>수혜</t>
        </is>
      </c>
      <c r="D219" s="16" t="inlineStr">
        <is>
          <t>Q16_2</t>
        </is>
      </c>
      <c r="E219" s="16" t="n">
        <v>3.56</v>
      </c>
      <c r="F219" s="16" t="inlineStr">
        <is>
          <t>평균(1~5)</t>
        </is>
      </c>
      <c r="G219" s="16" t="inlineStr"/>
    </row>
    <row r="220">
      <c r="A220" s="16" t="inlineStr">
        <is>
          <t>2023|수혜|Q16_3</t>
        </is>
      </c>
      <c r="B220" s="16" t="inlineStr">
        <is>
          <t>2023</t>
        </is>
      </c>
      <c r="C220" s="16" t="inlineStr">
        <is>
          <t>수혜</t>
        </is>
      </c>
      <c r="D220" s="16" t="inlineStr">
        <is>
          <t>Q16_3</t>
        </is>
      </c>
      <c r="E220" s="16" t="n">
        <v>3.84</v>
      </c>
      <c r="F220" s="16" t="inlineStr">
        <is>
          <t>평균(1~5)</t>
        </is>
      </c>
      <c r="G220" s="16" t="inlineStr"/>
    </row>
    <row r="221">
      <c r="A221" s="16" t="inlineStr">
        <is>
          <t>2023|수혜|Q16_4</t>
        </is>
      </c>
      <c r="B221" s="16" t="inlineStr">
        <is>
          <t>2023</t>
        </is>
      </c>
      <c r="C221" s="16" t="inlineStr">
        <is>
          <t>수혜</t>
        </is>
      </c>
      <c r="D221" s="16" t="inlineStr">
        <is>
          <t>Q16_4</t>
        </is>
      </c>
      <c r="E221" s="16" t="n">
        <v>3.77</v>
      </c>
      <c r="F221" s="16" t="inlineStr">
        <is>
          <t>평균(1~5)</t>
        </is>
      </c>
      <c r="G221" s="16" t="inlineStr"/>
    </row>
    <row r="222">
      <c r="A222" s="16" t="inlineStr">
        <is>
          <t>2023|일반|Q16_1</t>
        </is>
      </c>
      <c r="B222" s="16" t="inlineStr">
        <is>
          <t>2023</t>
        </is>
      </c>
      <c r="C222" s="16" t="inlineStr">
        <is>
          <t>일반</t>
        </is>
      </c>
      <c r="D222" s="16" t="inlineStr">
        <is>
          <t>Q16_1</t>
        </is>
      </c>
      <c r="E222" s="16" t="n">
        <v>3.39</v>
      </c>
      <c r="F222" s="16" t="inlineStr">
        <is>
          <t>평균(1~5)</t>
        </is>
      </c>
      <c r="G222" s="16" t="inlineStr"/>
    </row>
    <row r="223">
      <c r="A223" s="16" t="inlineStr">
        <is>
          <t>2023|일반|Q16_2</t>
        </is>
      </c>
      <c r="B223" s="16" t="inlineStr">
        <is>
          <t>2023</t>
        </is>
      </c>
      <c r="C223" s="16" t="inlineStr">
        <is>
          <t>일반</t>
        </is>
      </c>
      <c r="D223" s="16" t="inlineStr">
        <is>
          <t>Q16_2</t>
        </is>
      </c>
      <c r="E223" s="16" t="n">
        <v>3.4</v>
      </c>
      <c r="F223" s="16" t="inlineStr">
        <is>
          <t>평균(1~5)</t>
        </is>
      </c>
      <c r="G223" s="16" t="inlineStr"/>
    </row>
    <row r="224">
      <c r="A224" s="16" t="inlineStr">
        <is>
          <t>2023|일반|Q16_3</t>
        </is>
      </c>
      <c r="B224" s="16" t="inlineStr">
        <is>
          <t>2023</t>
        </is>
      </c>
      <c r="C224" s="16" t="inlineStr">
        <is>
          <t>일반</t>
        </is>
      </c>
      <c r="D224" s="16" t="inlineStr">
        <is>
          <t>Q16_3</t>
        </is>
      </c>
      <c r="E224" s="16" t="n">
        <v>3.65</v>
      </c>
      <c r="F224" s="16" t="inlineStr">
        <is>
          <t>평균(1~5)</t>
        </is>
      </c>
      <c r="G224" s="16" t="inlineStr"/>
    </row>
    <row r="225">
      <c r="A225" s="16" t="inlineStr">
        <is>
          <t>2023|일반|Q16_4</t>
        </is>
      </c>
      <c r="B225" s="16" t="inlineStr">
        <is>
          <t>2023</t>
        </is>
      </c>
      <c r="C225" s="16" t="inlineStr">
        <is>
          <t>일반</t>
        </is>
      </c>
      <c r="D225" s="16" t="inlineStr">
        <is>
          <t>Q16_4</t>
        </is>
      </c>
      <c r="E225" s="16" t="n">
        <v>3.58</v>
      </c>
      <c r="F225" s="16" t="inlineStr">
        <is>
          <t>평균(1~5)</t>
        </is>
      </c>
      <c r="G225" s="16" t="inlineStr"/>
    </row>
    <row r="226">
      <c r="A226" s="16" t="inlineStr">
        <is>
          <t>2025|수혜|Q16_1</t>
        </is>
      </c>
      <c r="B226" s="16" t="inlineStr">
        <is>
          <t>2025</t>
        </is>
      </c>
      <c r="C226" s="16" t="inlineStr">
        <is>
          <t>수혜</t>
        </is>
      </c>
      <c r="D226" s="16" t="inlineStr">
        <is>
          <t>Q16_1</t>
        </is>
      </c>
      <c r="E226" s="16" t="n">
        <v>3.56</v>
      </c>
      <c r="F226" s="16" t="inlineStr">
        <is>
          <t>평균(1~5)</t>
        </is>
      </c>
      <c r="G226" s="16" t="inlineStr"/>
    </row>
    <row r="227">
      <c r="A227" s="16" t="inlineStr">
        <is>
          <t>2025|수혜|Q16_2</t>
        </is>
      </c>
      <c r="B227" s="16" t="inlineStr">
        <is>
          <t>2025</t>
        </is>
      </c>
      <c r="C227" s="16" t="inlineStr">
        <is>
          <t>수혜</t>
        </is>
      </c>
      <c r="D227" s="16" t="inlineStr">
        <is>
          <t>Q16_2</t>
        </is>
      </c>
      <c r="E227" s="16" t="n">
        <v>3.61</v>
      </c>
      <c r="F227" s="16" t="inlineStr">
        <is>
          <t>평균(1~5)</t>
        </is>
      </c>
      <c r="G227" s="16" t="inlineStr"/>
    </row>
    <row r="228">
      <c r="A228" s="16" t="inlineStr">
        <is>
          <t>2025|수혜|Q16_3</t>
        </is>
      </c>
      <c r="B228" s="16" t="inlineStr">
        <is>
          <t>2025</t>
        </is>
      </c>
      <c r="C228" s="16" t="inlineStr">
        <is>
          <t>수혜</t>
        </is>
      </c>
      <c r="D228" s="16" t="inlineStr">
        <is>
          <t>Q16_3</t>
        </is>
      </c>
      <c r="E228" s="16" t="n">
        <v>3.88</v>
      </c>
      <c r="F228" s="16" t="inlineStr">
        <is>
          <t>평균(1~5)</t>
        </is>
      </c>
      <c r="G228" s="16" t="inlineStr"/>
    </row>
    <row r="229">
      <c r="A229" s="16" t="inlineStr">
        <is>
          <t>2025|수혜|Q16_4</t>
        </is>
      </c>
      <c r="B229" s="16" t="inlineStr">
        <is>
          <t>2025</t>
        </is>
      </c>
      <c r="C229" s="16" t="inlineStr">
        <is>
          <t>수혜</t>
        </is>
      </c>
      <c r="D229" s="16" t="inlineStr">
        <is>
          <t>Q16_4</t>
        </is>
      </c>
      <c r="E229" s="16" t="n">
        <v>3.8</v>
      </c>
      <c r="F229" s="16" t="inlineStr">
        <is>
          <t>평균(1~5)</t>
        </is>
      </c>
      <c r="G229" s="16" t="inlineStr"/>
    </row>
    <row r="230">
      <c r="A230" s="16" t="inlineStr">
        <is>
          <t>2025|일반|Q16_1</t>
        </is>
      </c>
      <c r="B230" s="16" t="inlineStr">
        <is>
          <t>2025</t>
        </is>
      </c>
      <c r="C230" s="16" t="inlineStr">
        <is>
          <t>일반</t>
        </is>
      </c>
      <c r="D230" s="16" t="inlineStr">
        <is>
          <t>Q16_1</t>
        </is>
      </c>
      <c r="E230" s="16" t="n">
        <v>3.42</v>
      </c>
      <c r="F230" s="16" t="inlineStr">
        <is>
          <t>평균(1~5)</t>
        </is>
      </c>
      <c r="G230" s="16" t="inlineStr"/>
    </row>
    <row r="231">
      <c r="A231" s="16" t="inlineStr">
        <is>
          <t>2025|일반|Q16_2</t>
        </is>
      </c>
      <c r="B231" s="16" t="inlineStr">
        <is>
          <t>2025</t>
        </is>
      </c>
      <c r="C231" s="16" t="inlineStr">
        <is>
          <t>일반</t>
        </is>
      </c>
      <c r="D231" s="16" t="inlineStr">
        <is>
          <t>Q16_2</t>
        </is>
      </c>
      <c r="E231" s="16" t="n">
        <v>3.46</v>
      </c>
      <c r="F231" s="16" t="inlineStr">
        <is>
          <t>평균(1~5)</t>
        </is>
      </c>
      <c r="G231" s="16" t="inlineStr"/>
    </row>
    <row r="232">
      <c r="A232" s="16" t="inlineStr">
        <is>
          <t>2025|일반|Q16_3</t>
        </is>
      </c>
      <c r="B232" s="16" t="inlineStr">
        <is>
          <t>2025</t>
        </is>
      </c>
      <c r="C232" s="16" t="inlineStr">
        <is>
          <t>일반</t>
        </is>
      </c>
      <c r="D232" s="16" t="inlineStr">
        <is>
          <t>Q16_3</t>
        </is>
      </c>
      <c r="E232" s="16" t="n">
        <v>3.64</v>
      </c>
      <c r="F232" s="16" t="inlineStr">
        <is>
          <t>평균(1~5)</t>
        </is>
      </c>
      <c r="G232" s="16" t="inlineStr"/>
    </row>
    <row r="233">
      <c r="A233" s="16" t="inlineStr">
        <is>
          <t>2025|일반|Q16_4</t>
        </is>
      </c>
      <c r="B233" s="16" t="inlineStr">
        <is>
          <t>2025</t>
        </is>
      </c>
      <c r="C233" s="16" t="inlineStr">
        <is>
          <t>일반</t>
        </is>
      </c>
      <c r="D233" s="16" t="inlineStr">
        <is>
          <t>Q16_4</t>
        </is>
      </c>
      <c r="E233" s="16" t="n">
        <v>3.62</v>
      </c>
      <c r="F233" s="16" t="inlineStr">
        <is>
          <t>평균(1~5)</t>
        </is>
      </c>
      <c r="G233" s="16" t="inlineStr"/>
    </row>
    <row r="234">
      <c r="A234" s="16" t="inlineStr">
        <is>
          <t>2023|수혜|Q17_1</t>
        </is>
      </c>
      <c r="B234" s="16" t="inlineStr">
        <is>
          <t>2023</t>
        </is>
      </c>
      <c r="C234" s="16" t="inlineStr">
        <is>
          <t>수혜</t>
        </is>
      </c>
      <c r="D234" s="16" t="inlineStr">
        <is>
          <t>Q17_1</t>
        </is>
      </c>
      <c r="E234" s="16" t="n">
        <v>0.154</v>
      </c>
      <c r="F234" s="16" t="inlineStr">
        <is>
          <t>시행률</t>
        </is>
      </c>
      <c r="G234" s="16" t="inlineStr"/>
    </row>
    <row r="235">
      <c r="A235" s="16" t="inlineStr">
        <is>
          <t>2023|수혜|Q17_1A</t>
        </is>
      </c>
      <c r="B235" s="16" t="inlineStr">
        <is>
          <t>2023</t>
        </is>
      </c>
      <c r="C235" s="16" t="inlineStr">
        <is>
          <t>수혜</t>
        </is>
      </c>
      <c r="D235" s="16" t="inlineStr">
        <is>
          <t>Q17_1A</t>
        </is>
      </c>
      <c r="E235" s="16" t="n">
        <v>3.52</v>
      </c>
      <c r="F235" s="16" t="inlineStr">
        <is>
          <t>활성화(1~5)</t>
        </is>
      </c>
      <c r="G235" s="16" t="inlineStr"/>
    </row>
    <row r="236">
      <c r="A236" s="16" t="inlineStr">
        <is>
          <t>2023|수혜|Q17_2</t>
        </is>
      </c>
      <c r="B236" s="16" t="inlineStr">
        <is>
          <t>2023</t>
        </is>
      </c>
      <c r="C236" s="16" t="inlineStr">
        <is>
          <t>수혜</t>
        </is>
      </c>
      <c r="D236" s="16" t="inlineStr">
        <is>
          <t>Q17_2</t>
        </is>
      </c>
      <c r="E236" s="16" t="n">
        <v>0.485</v>
      </c>
      <c r="F236" s="16" t="inlineStr">
        <is>
          <t>시행률</t>
        </is>
      </c>
      <c r="G236" s="16" t="inlineStr"/>
    </row>
    <row r="237">
      <c r="A237" s="16" t="inlineStr">
        <is>
          <t>2023|수혜|Q17_2A</t>
        </is>
      </c>
      <c r="B237" s="16" t="inlineStr">
        <is>
          <t>2023</t>
        </is>
      </c>
      <c r="C237" s="16" t="inlineStr">
        <is>
          <t>수혜</t>
        </is>
      </c>
      <c r="D237" s="16" t="inlineStr">
        <is>
          <t>Q17_2A</t>
        </is>
      </c>
      <c r="E237" s="16" t="n">
        <v>3.51</v>
      </c>
      <c r="F237" s="16" t="inlineStr">
        <is>
          <t>활성화(1~5)</t>
        </is>
      </c>
      <c r="G237" s="16" t="inlineStr"/>
    </row>
    <row r="238">
      <c r="A238" s="16" t="inlineStr">
        <is>
          <t>2023|수혜|Q17_3</t>
        </is>
      </c>
      <c r="B238" s="16" t="inlineStr">
        <is>
          <t>2023</t>
        </is>
      </c>
      <c r="C238" s="16" t="inlineStr">
        <is>
          <t>수혜</t>
        </is>
      </c>
      <c r="D238" s="16" t="inlineStr">
        <is>
          <t>Q17_3</t>
        </is>
      </c>
      <c r="E238" s="16" t="n">
        <v>0.39</v>
      </c>
      <c r="F238" s="16" t="inlineStr">
        <is>
          <t>시행률</t>
        </is>
      </c>
      <c r="G238" s="16" t="inlineStr"/>
    </row>
    <row r="239">
      <c r="A239" s="16" t="inlineStr">
        <is>
          <t>2023|수혜|Q17_3A</t>
        </is>
      </c>
      <c r="B239" s="16" t="inlineStr">
        <is>
          <t>2023</t>
        </is>
      </c>
      <c r="C239" s="16" t="inlineStr">
        <is>
          <t>수혜</t>
        </is>
      </c>
      <c r="D239" s="16" t="inlineStr">
        <is>
          <t>Q17_3A</t>
        </is>
      </c>
      <c r="E239" s="16" t="n">
        <v>3.53</v>
      </c>
      <c r="F239" s="16" t="inlineStr">
        <is>
          <t>활성화(1~5)</t>
        </is>
      </c>
      <c r="G239" s="16" t="inlineStr"/>
    </row>
    <row r="240">
      <c r="A240" s="16" t="inlineStr">
        <is>
          <t>2023|수혜|Q17_4</t>
        </is>
      </c>
      <c r="B240" s="16" t="inlineStr">
        <is>
          <t>2023</t>
        </is>
      </c>
      <c r="C240" s="16" t="inlineStr">
        <is>
          <t>수혜</t>
        </is>
      </c>
      <c r="D240" s="16" t="inlineStr">
        <is>
          <t>Q17_4</t>
        </is>
      </c>
      <c r="E240" s="16" t="n">
        <v>0.592</v>
      </c>
      <c r="F240" s="16" t="inlineStr">
        <is>
          <t>시행률</t>
        </is>
      </c>
      <c r="G240" s="16" t="inlineStr"/>
    </row>
    <row r="241">
      <c r="A241" s="16" t="inlineStr">
        <is>
          <t>2023|수혜|Q17_4A</t>
        </is>
      </c>
      <c r="B241" s="16" t="inlineStr">
        <is>
          <t>2023</t>
        </is>
      </c>
      <c r="C241" s="16" t="inlineStr">
        <is>
          <t>수혜</t>
        </is>
      </c>
      <c r="D241" s="16" t="inlineStr">
        <is>
          <t>Q17_4A</t>
        </is>
      </c>
      <c r="E241" s="16" t="n">
        <v>3.71</v>
      </c>
      <c r="F241" s="16" t="inlineStr">
        <is>
          <t>활성화(1~5)</t>
        </is>
      </c>
      <c r="G241" s="16" t="inlineStr"/>
    </row>
    <row r="242">
      <c r="A242" s="16" t="inlineStr">
        <is>
          <t>2023|수혜|Q17_5</t>
        </is>
      </c>
      <c r="B242" s="16" t="inlineStr">
        <is>
          <t>2023</t>
        </is>
      </c>
      <c r="C242" s="16" t="inlineStr">
        <is>
          <t>수혜</t>
        </is>
      </c>
      <c r="D242" s="16" t="inlineStr">
        <is>
          <t>Q17_5</t>
        </is>
      </c>
      <c r="E242" s="16" t="n">
        <v>0.136</v>
      </c>
      <c r="F242" s="16" t="inlineStr">
        <is>
          <t>시행률</t>
        </is>
      </c>
      <c r="G242" s="16" t="inlineStr"/>
    </row>
    <row r="243">
      <c r="A243" s="16" t="inlineStr">
        <is>
          <t>2023|수혜|Q17_5A</t>
        </is>
      </c>
      <c r="B243" s="16" t="inlineStr">
        <is>
          <t>2023</t>
        </is>
      </c>
      <c r="C243" s="16" t="inlineStr">
        <is>
          <t>수혜</t>
        </is>
      </c>
      <c r="D243" s="16" t="inlineStr">
        <is>
          <t>Q17_5A</t>
        </is>
      </c>
      <c r="E243" s="16" t="n">
        <v>3.59</v>
      </c>
      <c r="F243" s="16" t="inlineStr">
        <is>
          <t>활성화(1~5)</t>
        </is>
      </c>
      <c r="G243" s="16" t="inlineStr"/>
    </row>
    <row r="244">
      <c r="A244" s="16" t="inlineStr">
        <is>
          <t>2023|일반|Q17_1</t>
        </is>
      </c>
      <c r="B244" s="16" t="inlineStr">
        <is>
          <t>2023</t>
        </is>
      </c>
      <c r="C244" s="16" t="inlineStr">
        <is>
          <t>일반</t>
        </is>
      </c>
      <c r="D244" s="16" t="inlineStr">
        <is>
          <t>Q17_1</t>
        </is>
      </c>
      <c r="E244" s="16" t="n">
        <v>0.158</v>
      </c>
      <c r="F244" s="16" t="inlineStr">
        <is>
          <t>시행률</t>
        </is>
      </c>
      <c r="G244" s="16" t="inlineStr"/>
    </row>
    <row r="245">
      <c r="A245" s="16" t="inlineStr">
        <is>
          <t>2023|일반|Q17_1A</t>
        </is>
      </c>
      <c r="B245" s="16" t="inlineStr">
        <is>
          <t>2023</t>
        </is>
      </c>
      <c r="C245" s="16" t="inlineStr">
        <is>
          <t>일반</t>
        </is>
      </c>
      <c r="D245" s="16" t="inlineStr">
        <is>
          <t>Q17_1A</t>
        </is>
      </c>
      <c r="E245" s="16" t="n">
        <v>3.27</v>
      </c>
      <c r="F245" s="16" t="inlineStr">
        <is>
          <t>활성화(1~5)</t>
        </is>
      </c>
      <c r="G245" s="16" t="inlineStr"/>
    </row>
    <row r="246">
      <c r="A246" s="16" t="inlineStr">
        <is>
          <t>2023|일반|Q17_2</t>
        </is>
      </c>
      <c r="B246" s="16" t="inlineStr">
        <is>
          <t>2023</t>
        </is>
      </c>
      <c r="C246" s="16" t="inlineStr">
        <is>
          <t>일반</t>
        </is>
      </c>
      <c r="D246" s="16" t="inlineStr">
        <is>
          <t>Q17_2</t>
        </is>
      </c>
      <c r="E246" s="16" t="n">
        <v>0.396</v>
      </c>
      <c r="F246" s="16" t="inlineStr">
        <is>
          <t>시행률</t>
        </is>
      </c>
      <c r="G246" s="16" t="inlineStr"/>
    </row>
    <row r="247">
      <c r="A247" s="16" t="inlineStr">
        <is>
          <t>2023|일반|Q17_2A</t>
        </is>
      </c>
      <c r="B247" s="16" t="inlineStr">
        <is>
          <t>2023</t>
        </is>
      </c>
      <c r="C247" s="16" t="inlineStr">
        <is>
          <t>일반</t>
        </is>
      </c>
      <c r="D247" s="16" t="inlineStr">
        <is>
          <t>Q17_2A</t>
        </is>
      </c>
      <c r="E247" s="16" t="n">
        <v>3.5</v>
      </c>
      <c r="F247" s="16" t="inlineStr">
        <is>
          <t>활성화(1~5)</t>
        </is>
      </c>
      <c r="G247" s="16" t="inlineStr"/>
    </row>
    <row r="248">
      <c r="A248" s="16" t="inlineStr">
        <is>
          <t>2023|일반|Q17_3</t>
        </is>
      </c>
      <c r="B248" s="16" t="inlineStr">
        <is>
          <t>2023</t>
        </is>
      </c>
      <c r="C248" s="16" t="inlineStr">
        <is>
          <t>일반</t>
        </is>
      </c>
      <c r="D248" s="16" t="inlineStr">
        <is>
          <t>Q17_3</t>
        </is>
      </c>
      <c r="E248" s="16" t="n">
        <v>0.311</v>
      </c>
      <c r="F248" s="16" t="inlineStr">
        <is>
          <t>시행률</t>
        </is>
      </c>
      <c r="G248" s="16" t="inlineStr"/>
    </row>
    <row r="249">
      <c r="A249" s="16" t="inlineStr">
        <is>
          <t>2023|일반|Q17_3A</t>
        </is>
      </c>
      <c r="B249" s="16" t="inlineStr">
        <is>
          <t>2023</t>
        </is>
      </c>
      <c r="C249" s="16" t="inlineStr">
        <is>
          <t>일반</t>
        </is>
      </c>
      <c r="D249" s="16" t="inlineStr">
        <is>
          <t>Q17_3A</t>
        </is>
      </c>
      <c r="E249" s="16" t="n">
        <v>3.5</v>
      </c>
      <c r="F249" s="16" t="inlineStr">
        <is>
          <t>활성화(1~5)</t>
        </is>
      </c>
      <c r="G249" s="16" t="inlineStr"/>
    </row>
    <row r="250">
      <c r="A250" s="16" t="inlineStr">
        <is>
          <t>2023|일반|Q17_4</t>
        </is>
      </c>
      <c r="B250" s="16" t="inlineStr">
        <is>
          <t>2023</t>
        </is>
      </c>
      <c r="C250" s="16" t="inlineStr">
        <is>
          <t>일반</t>
        </is>
      </c>
      <c r="D250" s="16" t="inlineStr">
        <is>
          <t>Q17_4</t>
        </is>
      </c>
      <c r="E250" s="16" t="n">
        <v>0.531</v>
      </c>
      <c r="F250" s="16" t="inlineStr">
        <is>
          <t>시행률</t>
        </is>
      </c>
      <c r="G250" s="16" t="inlineStr"/>
    </row>
    <row r="251">
      <c r="A251" s="16" t="inlineStr">
        <is>
          <t>2023|일반|Q17_4A</t>
        </is>
      </c>
      <c r="B251" s="16" t="inlineStr">
        <is>
          <t>2023</t>
        </is>
      </c>
      <c r="C251" s="16" t="inlineStr">
        <is>
          <t>일반</t>
        </is>
      </c>
      <c r="D251" s="16" t="inlineStr">
        <is>
          <t>Q17_4A</t>
        </is>
      </c>
      <c r="E251" s="16" t="n">
        <v>3.6</v>
      </c>
      <c r="F251" s="16" t="inlineStr">
        <is>
          <t>활성화(1~5)</t>
        </is>
      </c>
      <c r="G251" s="16" t="inlineStr"/>
    </row>
    <row r="252">
      <c r="A252" s="16" t="inlineStr">
        <is>
          <t>2023|일반|Q17_5</t>
        </is>
      </c>
      <c r="B252" s="16" t="inlineStr">
        <is>
          <t>2023</t>
        </is>
      </c>
      <c r="C252" s="16" t="inlineStr">
        <is>
          <t>일반</t>
        </is>
      </c>
      <c r="D252" s="16" t="inlineStr">
        <is>
          <t>Q17_5</t>
        </is>
      </c>
      <c r="E252" s="16" t="n">
        <v>0.109</v>
      </c>
      <c r="F252" s="16" t="inlineStr">
        <is>
          <t>시행률</t>
        </is>
      </c>
      <c r="G252" s="16" t="inlineStr"/>
    </row>
    <row r="253">
      <c r="A253" s="16" t="inlineStr">
        <is>
          <t>2023|일반|Q17_5A</t>
        </is>
      </c>
      <c r="B253" s="16" t="inlineStr">
        <is>
          <t>2023</t>
        </is>
      </c>
      <c r="C253" s="16" t="inlineStr">
        <is>
          <t>일반</t>
        </is>
      </c>
      <c r="D253" s="16" t="inlineStr">
        <is>
          <t>Q17_5A</t>
        </is>
      </c>
      <c r="E253" s="16" t="n">
        <v>3.55</v>
      </c>
      <c r="F253" s="16" t="inlineStr">
        <is>
          <t>활성화(1~5)</t>
        </is>
      </c>
      <c r="G253" s="16" t="inlineStr"/>
    </row>
    <row r="254">
      <c r="A254" s="16" t="inlineStr">
        <is>
          <t>2024|수혜|Q17_1</t>
        </is>
      </c>
      <c r="B254" s="16" t="inlineStr">
        <is>
          <t>2024</t>
        </is>
      </c>
      <c r="C254" s="16" t="inlineStr">
        <is>
          <t>수혜</t>
        </is>
      </c>
      <c r="D254" s="16" t="inlineStr">
        <is>
          <t>Q17_1</t>
        </is>
      </c>
      <c r="E254" s="16" t="n">
        <v>0.173</v>
      </c>
      <c r="F254" s="16" t="inlineStr">
        <is>
          <t>시행률</t>
        </is>
      </c>
      <c r="G254" s="16" t="inlineStr"/>
    </row>
    <row r="255">
      <c r="A255" s="16" t="inlineStr">
        <is>
          <t>2024|수혜|Q17_1A</t>
        </is>
      </c>
      <c r="B255" s="16" t="inlineStr">
        <is>
          <t>2024</t>
        </is>
      </c>
      <c r="C255" s="16" t="inlineStr">
        <is>
          <t>수혜</t>
        </is>
      </c>
      <c r="D255" s="16" t="inlineStr">
        <is>
          <t>Q17_1A</t>
        </is>
      </c>
      <c r="E255" s="16" t="n">
        <v>3.38</v>
      </c>
      <c r="F255" s="16" t="inlineStr">
        <is>
          <t>활성화(1~5)</t>
        </is>
      </c>
      <c r="G255" s="16" t="inlineStr"/>
    </row>
    <row r="256">
      <c r="A256" s="16" t="inlineStr">
        <is>
          <t>2024|수혜|Q17_2</t>
        </is>
      </c>
      <c r="B256" s="16" t="inlineStr">
        <is>
          <t>2024</t>
        </is>
      </c>
      <c r="C256" s="16" t="inlineStr">
        <is>
          <t>수혜</t>
        </is>
      </c>
      <c r="D256" s="16" t="inlineStr">
        <is>
          <t>Q17_2</t>
        </is>
      </c>
      <c r="E256" s="16" t="n">
        <v>0.589</v>
      </c>
      <c r="F256" s="16" t="inlineStr">
        <is>
          <t>시행률</t>
        </is>
      </c>
      <c r="G256" s="16" t="inlineStr"/>
    </row>
    <row r="257">
      <c r="A257" s="16" t="inlineStr">
        <is>
          <t>2024|수혜|Q17_2A</t>
        </is>
      </c>
      <c r="B257" s="16" t="inlineStr">
        <is>
          <t>2024</t>
        </is>
      </c>
      <c r="C257" s="16" t="inlineStr">
        <is>
          <t>수혜</t>
        </is>
      </c>
      <c r="D257" s="16" t="inlineStr">
        <is>
          <t>Q17_2A</t>
        </is>
      </c>
      <c r="E257" s="16" t="n">
        <v>3.57</v>
      </c>
      <c r="F257" s="16" t="inlineStr">
        <is>
          <t>활성화(1~5)</t>
        </is>
      </c>
      <c r="G257" s="16" t="inlineStr"/>
    </row>
    <row r="258">
      <c r="A258" s="16" t="inlineStr">
        <is>
          <t>2024|수혜|Q17_3</t>
        </is>
      </c>
      <c r="B258" s="16" t="inlineStr">
        <is>
          <t>2024</t>
        </is>
      </c>
      <c r="C258" s="16" t="inlineStr">
        <is>
          <t>수혜</t>
        </is>
      </c>
      <c r="D258" s="16" t="inlineStr">
        <is>
          <t>Q17_3</t>
        </is>
      </c>
      <c r="E258" s="16" t="n">
        <v>0.456</v>
      </c>
      <c r="F258" s="16" t="inlineStr">
        <is>
          <t>시행률</t>
        </is>
      </c>
      <c r="G258" s="16" t="inlineStr"/>
    </row>
    <row r="259">
      <c r="A259" s="16" t="inlineStr">
        <is>
          <t>2024|수혜|Q17_3A</t>
        </is>
      </c>
      <c r="B259" s="16" t="inlineStr">
        <is>
          <t>2024</t>
        </is>
      </c>
      <c r="C259" s="16" t="inlineStr">
        <is>
          <t>수혜</t>
        </is>
      </c>
      <c r="D259" s="16" t="inlineStr">
        <is>
          <t>Q17_3A</t>
        </is>
      </c>
      <c r="E259" s="16" t="n">
        <v>3.68</v>
      </c>
      <c r="F259" s="16" t="inlineStr">
        <is>
          <t>활성화(1~5)</t>
        </is>
      </c>
      <c r="G259" s="16" t="inlineStr"/>
    </row>
    <row r="260">
      <c r="A260" s="16" t="inlineStr">
        <is>
          <t>2024|수혜|Q17_4</t>
        </is>
      </c>
      <c r="B260" s="16" t="inlineStr">
        <is>
          <t>2024</t>
        </is>
      </c>
      <c r="C260" s="16" t="inlineStr">
        <is>
          <t>수혜</t>
        </is>
      </c>
      <c r="D260" s="16" t="inlineStr">
        <is>
          <t>Q17_4</t>
        </is>
      </c>
      <c r="E260" s="16" t="n">
        <v>0.698</v>
      </c>
      <c r="F260" s="16" t="inlineStr">
        <is>
          <t>시행률</t>
        </is>
      </c>
      <c r="G260" s="16" t="inlineStr"/>
    </row>
    <row r="261">
      <c r="A261" s="16" t="inlineStr">
        <is>
          <t>2024|수혜|Q17_4A</t>
        </is>
      </c>
      <c r="B261" s="16" t="inlineStr">
        <is>
          <t>2024</t>
        </is>
      </c>
      <c r="C261" s="16" t="inlineStr">
        <is>
          <t>수혜</t>
        </is>
      </c>
      <c r="D261" s="16" t="inlineStr">
        <is>
          <t>Q17_4A</t>
        </is>
      </c>
      <c r="E261" s="16" t="n">
        <v>3.72</v>
      </c>
      <c r="F261" s="16" t="inlineStr">
        <is>
          <t>활성화(1~5)</t>
        </is>
      </c>
      <c r="G261" s="16" t="inlineStr"/>
    </row>
    <row r="262">
      <c r="A262" s="16" t="inlineStr">
        <is>
          <t>2024|수혜|Q17_5</t>
        </is>
      </c>
      <c r="B262" s="16" t="inlineStr">
        <is>
          <t>2024</t>
        </is>
      </c>
      <c r="C262" s="16" t="inlineStr">
        <is>
          <t>수혜</t>
        </is>
      </c>
      <c r="D262" s="16" t="inlineStr">
        <is>
          <t>Q17_5</t>
        </is>
      </c>
      <c r="E262" s="16" t="n">
        <v>0.145</v>
      </c>
      <c r="F262" s="16" t="inlineStr">
        <is>
          <t>시행률</t>
        </is>
      </c>
      <c r="G262" s="16" t="inlineStr"/>
    </row>
    <row r="263">
      <c r="A263" s="16" t="inlineStr">
        <is>
          <t>2024|수혜|Q17_5A</t>
        </is>
      </c>
      <c r="B263" s="16" t="inlineStr">
        <is>
          <t>2024</t>
        </is>
      </c>
      <c r="C263" s="16" t="inlineStr">
        <is>
          <t>수혜</t>
        </is>
      </c>
      <c r="D263" s="16" t="inlineStr">
        <is>
          <t>Q17_5A</t>
        </is>
      </c>
      <c r="E263" s="16" t="n">
        <v>3.89</v>
      </c>
      <c r="F263" s="16" t="inlineStr">
        <is>
          <t>활성화(1~5)</t>
        </is>
      </c>
      <c r="G263" s="16" t="inlineStr"/>
    </row>
    <row r="264">
      <c r="A264" s="16" t="inlineStr">
        <is>
          <t>2024|일반|Q17_1</t>
        </is>
      </c>
      <c r="B264" s="16" t="inlineStr">
        <is>
          <t>2024</t>
        </is>
      </c>
      <c r="C264" s="16" t="inlineStr">
        <is>
          <t>일반</t>
        </is>
      </c>
      <c r="D264" s="16" t="inlineStr">
        <is>
          <t>Q17_1</t>
        </is>
      </c>
      <c r="E264" s="16" t="n">
        <v>0.147</v>
      </c>
      <c r="F264" s="16" t="inlineStr">
        <is>
          <t>시행률</t>
        </is>
      </c>
      <c r="G264" s="16" t="inlineStr"/>
    </row>
    <row r="265">
      <c r="A265" s="16" t="inlineStr">
        <is>
          <t>2024|일반|Q17_1A</t>
        </is>
      </c>
      <c r="B265" s="16" t="inlineStr">
        <is>
          <t>2024</t>
        </is>
      </c>
      <c r="C265" s="16" t="inlineStr">
        <is>
          <t>일반</t>
        </is>
      </c>
      <c r="D265" s="16" t="inlineStr">
        <is>
          <t>Q17_1A</t>
        </is>
      </c>
      <c r="E265" s="16" t="n">
        <v>3.22</v>
      </c>
      <c r="F265" s="16" t="inlineStr">
        <is>
          <t>활성화(1~5)</t>
        </is>
      </c>
      <c r="G265" s="16" t="inlineStr"/>
    </row>
    <row r="266">
      <c r="A266" s="16" t="inlineStr">
        <is>
          <t>2024|일반|Q17_2</t>
        </is>
      </c>
      <c r="B266" s="16" t="inlineStr">
        <is>
          <t>2024</t>
        </is>
      </c>
      <c r="C266" s="16" t="inlineStr">
        <is>
          <t>일반</t>
        </is>
      </c>
      <c r="D266" s="16" t="inlineStr">
        <is>
          <t>Q17_2</t>
        </is>
      </c>
      <c r="E266" s="16" t="n">
        <v>0.47</v>
      </c>
      <c r="F266" s="16" t="inlineStr">
        <is>
          <t>시행률</t>
        </is>
      </c>
      <c r="G266" s="16" t="inlineStr"/>
    </row>
    <row r="267">
      <c r="A267" s="16" t="inlineStr">
        <is>
          <t>2024|일반|Q17_2A</t>
        </is>
      </c>
      <c r="B267" s="16" t="inlineStr">
        <is>
          <t>2024</t>
        </is>
      </c>
      <c r="C267" s="16" t="inlineStr">
        <is>
          <t>일반</t>
        </is>
      </c>
      <c r="D267" s="16" t="inlineStr">
        <is>
          <t>Q17_2A</t>
        </is>
      </c>
      <c r="E267" s="16" t="n">
        <v>3.39</v>
      </c>
      <c r="F267" s="16" t="inlineStr">
        <is>
          <t>활성화(1~5)</t>
        </is>
      </c>
      <c r="G267" s="16" t="inlineStr"/>
    </row>
    <row r="268">
      <c r="A268" s="16" t="inlineStr">
        <is>
          <t>2024|일반|Q17_3</t>
        </is>
      </c>
      <c r="B268" s="16" t="inlineStr">
        <is>
          <t>2024</t>
        </is>
      </c>
      <c r="C268" s="16" t="inlineStr">
        <is>
          <t>일반</t>
        </is>
      </c>
      <c r="D268" s="16" t="inlineStr">
        <is>
          <t>Q17_3</t>
        </is>
      </c>
      <c r="E268" s="16" t="n">
        <v>0.329</v>
      </c>
      <c r="F268" s="16" t="inlineStr">
        <is>
          <t>시행률</t>
        </is>
      </c>
      <c r="G268" s="16" t="inlineStr"/>
    </row>
    <row r="269">
      <c r="A269" s="16" t="inlineStr">
        <is>
          <t>2024|일반|Q17_3A</t>
        </is>
      </c>
      <c r="B269" s="16" t="inlineStr">
        <is>
          <t>2024</t>
        </is>
      </c>
      <c r="C269" s="16" t="inlineStr">
        <is>
          <t>일반</t>
        </is>
      </c>
      <c r="D269" s="16" t="inlineStr">
        <is>
          <t>Q17_3A</t>
        </is>
      </c>
      <c r="E269" s="16" t="n">
        <v>3.43</v>
      </c>
      <c r="F269" s="16" t="inlineStr">
        <is>
          <t>활성화(1~5)</t>
        </is>
      </c>
      <c r="G269" s="16" t="inlineStr"/>
    </row>
    <row r="270">
      <c r="A270" s="16" t="inlineStr">
        <is>
          <t>2024|일반|Q17_4</t>
        </is>
      </c>
      <c r="B270" s="16" t="inlineStr">
        <is>
          <t>2024</t>
        </is>
      </c>
      <c r="C270" s="16" t="inlineStr">
        <is>
          <t>일반</t>
        </is>
      </c>
      <c r="D270" s="16" t="inlineStr">
        <is>
          <t>Q17_4</t>
        </is>
      </c>
      <c r="E270" s="16" t="n">
        <v>0.588</v>
      </c>
      <c r="F270" s="16" t="inlineStr">
        <is>
          <t>시행률</t>
        </is>
      </c>
      <c r="G270" s="16" t="inlineStr"/>
    </row>
    <row r="271">
      <c r="A271" s="16" t="inlineStr">
        <is>
          <t>2024|일반|Q17_4A</t>
        </is>
      </c>
      <c r="B271" s="16" t="inlineStr">
        <is>
          <t>2024</t>
        </is>
      </c>
      <c r="C271" s="16" t="inlineStr">
        <is>
          <t>일반</t>
        </is>
      </c>
      <c r="D271" s="16" t="inlineStr">
        <is>
          <t>Q17_4A</t>
        </is>
      </c>
      <c r="E271" s="16" t="n">
        <v>3.65</v>
      </c>
      <c r="F271" s="16" t="inlineStr">
        <is>
          <t>활성화(1~5)</t>
        </is>
      </c>
      <c r="G271" s="16" t="inlineStr"/>
    </row>
    <row r="272">
      <c r="A272" s="16" t="inlineStr">
        <is>
          <t>2024|일반|Q17_5</t>
        </is>
      </c>
      <c r="B272" s="16" t="inlineStr">
        <is>
          <t>2024</t>
        </is>
      </c>
      <c r="C272" s="16" t="inlineStr">
        <is>
          <t>일반</t>
        </is>
      </c>
      <c r="D272" s="16" t="inlineStr">
        <is>
          <t>Q17_5</t>
        </is>
      </c>
      <c r="E272" s="16" t="n">
        <v>0.102</v>
      </c>
      <c r="F272" s="16" t="inlineStr">
        <is>
          <t>시행률</t>
        </is>
      </c>
      <c r="G272" s="16" t="inlineStr"/>
    </row>
    <row r="273">
      <c r="A273" s="16" t="inlineStr">
        <is>
          <t>2024|일반|Q17_5A</t>
        </is>
      </c>
      <c r="B273" s="16" t="inlineStr">
        <is>
          <t>2024</t>
        </is>
      </c>
      <c r="C273" s="16" t="inlineStr">
        <is>
          <t>일반</t>
        </is>
      </c>
      <c r="D273" s="16" t="inlineStr">
        <is>
          <t>Q17_5A</t>
        </is>
      </c>
      <c r="E273" s="16" t="n">
        <v>3.65</v>
      </c>
      <c r="F273" s="16" t="inlineStr">
        <is>
          <t>활성화(1~5)</t>
        </is>
      </c>
      <c r="G273" s="16" t="inlineStr"/>
    </row>
    <row r="274">
      <c r="A274" s="16" t="inlineStr">
        <is>
          <t>2025|수혜|Q17_1</t>
        </is>
      </c>
      <c r="B274" s="16" t="inlineStr">
        <is>
          <t>2025</t>
        </is>
      </c>
      <c r="C274" s="16" t="inlineStr">
        <is>
          <t>수혜</t>
        </is>
      </c>
      <c r="D274" s="16" t="inlineStr">
        <is>
          <t>Q17_1</t>
        </is>
      </c>
      <c r="E274" s="16" t="n">
        <v>0.148</v>
      </c>
      <c r="F274" s="16" t="inlineStr">
        <is>
          <t>시행률</t>
        </is>
      </c>
      <c r="G274" s="16" t="inlineStr"/>
    </row>
    <row r="275">
      <c r="A275" s="16" t="inlineStr">
        <is>
          <t>2025|수혜|Q17_1A</t>
        </is>
      </c>
      <c r="B275" s="16" t="inlineStr">
        <is>
          <t>2025</t>
        </is>
      </c>
      <c r="C275" s="16" t="inlineStr">
        <is>
          <t>수혜</t>
        </is>
      </c>
      <c r="D275" s="16" t="inlineStr">
        <is>
          <t>Q17_1A</t>
        </is>
      </c>
      <c r="E275" s="16" t="n">
        <v>3.29</v>
      </c>
      <c r="F275" s="16" t="inlineStr">
        <is>
          <t>활성화(1~5)</t>
        </is>
      </c>
      <c r="G275" s="16" t="inlineStr">
        <is>
          <t>2025 활성화 N 일부 전년값 잔존 이슈</t>
        </is>
      </c>
    </row>
    <row r="276">
      <c r="A276" s="16" t="inlineStr">
        <is>
          <t>2025|수혜|Q17_2</t>
        </is>
      </c>
      <c r="B276" s="16" t="inlineStr">
        <is>
          <t>2025</t>
        </is>
      </c>
      <c r="C276" s="16" t="inlineStr">
        <is>
          <t>수혜</t>
        </is>
      </c>
      <c r="D276" s="16" t="inlineStr">
        <is>
          <t>Q17_2</t>
        </is>
      </c>
      <c r="E276" s="16" t="n">
        <v>0.506</v>
      </c>
      <c r="F276" s="16" t="inlineStr">
        <is>
          <t>시행률</t>
        </is>
      </c>
      <c r="G276" s="16" t="inlineStr"/>
    </row>
    <row r="277">
      <c r="A277" s="16" t="inlineStr">
        <is>
          <t>2025|수혜|Q17_2A</t>
        </is>
      </c>
      <c r="B277" s="16" t="inlineStr">
        <is>
          <t>2025</t>
        </is>
      </c>
      <c r="C277" s="16" t="inlineStr">
        <is>
          <t>수혜</t>
        </is>
      </c>
      <c r="D277" s="16" t="inlineStr">
        <is>
          <t>Q17_2A</t>
        </is>
      </c>
      <c r="E277" s="16" t="n">
        <v>3.49</v>
      </c>
      <c r="F277" s="16" t="inlineStr">
        <is>
          <t>활성화(1~5)</t>
        </is>
      </c>
      <c r="G277" s="16" t="inlineStr">
        <is>
          <t>2025 활성화 N 일부 전년값 잔존 이슈</t>
        </is>
      </c>
    </row>
    <row r="278">
      <c r="A278" s="16" t="inlineStr">
        <is>
          <t>2025|수혜|Q17_3</t>
        </is>
      </c>
      <c r="B278" s="16" t="inlineStr">
        <is>
          <t>2025</t>
        </is>
      </c>
      <c r="C278" s="16" t="inlineStr">
        <is>
          <t>수혜</t>
        </is>
      </c>
      <c r="D278" s="16" t="inlineStr">
        <is>
          <t>Q17_3</t>
        </is>
      </c>
      <c r="E278" s="16" t="n">
        <v>0.428</v>
      </c>
      <c r="F278" s="16" t="inlineStr">
        <is>
          <t>시행률</t>
        </is>
      </c>
      <c r="G278" s="16" t="inlineStr"/>
    </row>
    <row r="279">
      <c r="A279" s="16" t="inlineStr">
        <is>
          <t>2025|수혜|Q17_3A</t>
        </is>
      </c>
      <c r="B279" s="16" t="inlineStr">
        <is>
          <t>2025</t>
        </is>
      </c>
      <c r="C279" s="16" t="inlineStr">
        <is>
          <t>수혜</t>
        </is>
      </c>
      <c r="D279" s="16" t="inlineStr">
        <is>
          <t>Q17_3A</t>
        </is>
      </c>
      <c r="E279" s="16" t="n">
        <v>3.69</v>
      </c>
      <c r="F279" s="16" t="inlineStr">
        <is>
          <t>활성화(1~5)</t>
        </is>
      </c>
      <c r="G279" s="16" t="inlineStr">
        <is>
          <t>2025 활성화 N 일부 전년값 잔존 이슈</t>
        </is>
      </c>
    </row>
    <row r="280">
      <c r="A280" s="16" t="inlineStr">
        <is>
          <t>2025|수혜|Q17_4</t>
        </is>
      </c>
      <c r="B280" s="16" t="inlineStr">
        <is>
          <t>2025</t>
        </is>
      </c>
      <c r="C280" s="16" t="inlineStr">
        <is>
          <t>수혜</t>
        </is>
      </c>
      <c r="D280" s="16" t="inlineStr">
        <is>
          <t>Q17_4</t>
        </is>
      </c>
      <c r="E280" s="16" t="n">
        <v>0.643</v>
      </c>
      <c r="F280" s="16" t="inlineStr">
        <is>
          <t>시행률</t>
        </is>
      </c>
      <c r="G280" s="16" t="inlineStr"/>
    </row>
    <row r="281">
      <c r="A281" s="16" t="inlineStr">
        <is>
          <t>2025|수혜|Q17_4A</t>
        </is>
      </c>
      <c r="B281" s="16" t="inlineStr">
        <is>
          <t>2025</t>
        </is>
      </c>
      <c r="C281" s="16" t="inlineStr">
        <is>
          <t>수혜</t>
        </is>
      </c>
      <c r="D281" s="16" t="inlineStr">
        <is>
          <t>Q17_4A</t>
        </is>
      </c>
      <c r="E281" s="16" t="n">
        <v>3.74</v>
      </c>
      <c r="F281" s="16" t="inlineStr">
        <is>
          <t>활성화(1~5)</t>
        </is>
      </c>
      <c r="G281" s="16" t="inlineStr">
        <is>
          <t>2025 활성화 N 일부 전년값 잔존 이슈</t>
        </is>
      </c>
    </row>
    <row r="282">
      <c r="A282" s="16" t="inlineStr">
        <is>
          <t>2025|수혜|Q17_5</t>
        </is>
      </c>
      <c r="B282" s="16" t="inlineStr">
        <is>
          <t>2025</t>
        </is>
      </c>
      <c r="C282" s="16" t="inlineStr">
        <is>
          <t>수혜</t>
        </is>
      </c>
      <c r="D282" s="16" t="inlineStr">
        <is>
          <t>Q17_5</t>
        </is>
      </c>
      <c r="E282" s="16" t="n">
        <v>0.126</v>
      </c>
      <c r="F282" s="16" t="inlineStr">
        <is>
          <t>시행률</t>
        </is>
      </c>
      <c r="G282" s="16" t="inlineStr"/>
    </row>
    <row r="283">
      <c r="A283" s="16" t="inlineStr">
        <is>
          <t>2025|수혜|Q17_5A</t>
        </is>
      </c>
      <c r="B283" s="16" t="inlineStr">
        <is>
          <t>2025</t>
        </is>
      </c>
      <c r="C283" s="16" t="inlineStr">
        <is>
          <t>수혜</t>
        </is>
      </c>
      <c r="D283" s="16" t="inlineStr">
        <is>
          <t>Q17_5A</t>
        </is>
      </c>
      <c r="E283" s="16" t="n">
        <v>3.57</v>
      </c>
      <c r="F283" s="16" t="inlineStr">
        <is>
          <t>활성화(1~5)</t>
        </is>
      </c>
      <c r="G283" s="16" t="inlineStr">
        <is>
          <t>2025 활성화 N 일부 전년값 잔존 이슈</t>
        </is>
      </c>
    </row>
    <row r="284">
      <c r="A284" s="16" t="inlineStr">
        <is>
          <t>2025|일반|Q17_1</t>
        </is>
      </c>
      <c r="B284" s="16" t="inlineStr">
        <is>
          <t>2025</t>
        </is>
      </c>
      <c r="C284" s="16" t="inlineStr">
        <is>
          <t>일반</t>
        </is>
      </c>
      <c r="D284" s="16" t="inlineStr">
        <is>
          <t>Q17_1</t>
        </is>
      </c>
      <c r="E284" s="16" t="n">
        <v>0.08799999999999999</v>
      </c>
      <c r="F284" s="16" t="inlineStr">
        <is>
          <t>시행률</t>
        </is>
      </c>
      <c r="G284" s="16" t="inlineStr"/>
    </row>
    <row r="285">
      <c r="A285" s="16" t="inlineStr">
        <is>
          <t>2025|일반|Q17_1A</t>
        </is>
      </c>
      <c r="B285" s="16" t="inlineStr">
        <is>
          <t>2025</t>
        </is>
      </c>
      <c r="C285" s="16" t="inlineStr">
        <is>
          <t>일반</t>
        </is>
      </c>
      <c r="D285" s="16" t="inlineStr">
        <is>
          <t>Q17_1A</t>
        </is>
      </c>
      <c r="E285" s="16" t="n">
        <v>3.13</v>
      </c>
      <c r="F285" s="16" t="inlineStr">
        <is>
          <t>활성화(1~5)</t>
        </is>
      </c>
      <c r="G285" s="16" t="inlineStr">
        <is>
          <t>2025 활성화 N 일부 전년값 잔존 이슈</t>
        </is>
      </c>
    </row>
    <row r="286">
      <c r="A286" s="16" t="inlineStr">
        <is>
          <t>2025|일반|Q17_2</t>
        </is>
      </c>
      <c r="B286" s="16" t="inlineStr">
        <is>
          <t>2025</t>
        </is>
      </c>
      <c r="C286" s="16" t="inlineStr">
        <is>
          <t>일반</t>
        </is>
      </c>
      <c r="D286" s="16" t="inlineStr">
        <is>
          <t>Q17_2</t>
        </is>
      </c>
      <c r="E286" s="16" t="n">
        <v>0.371</v>
      </c>
      <c r="F286" s="16" t="inlineStr">
        <is>
          <t>시행률</t>
        </is>
      </c>
      <c r="G286" s="16" t="inlineStr"/>
    </row>
    <row r="287">
      <c r="A287" s="16" t="inlineStr">
        <is>
          <t>2025|일반|Q17_2A</t>
        </is>
      </c>
      <c r="B287" s="16" t="inlineStr">
        <is>
          <t>2025</t>
        </is>
      </c>
      <c r="C287" s="16" t="inlineStr">
        <is>
          <t>일반</t>
        </is>
      </c>
      <c r="D287" s="16" t="inlineStr">
        <is>
          <t>Q17_2A</t>
        </is>
      </c>
      <c r="E287" s="16" t="n">
        <v>3.43</v>
      </c>
      <c r="F287" s="16" t="inlineStr">
        <is>
          <t>활성화(1~5)</t>
        </is>
      </c>
      <c r="G287" s="16" t="inlineStr">
        <is>
          <t>2025 활성화 N 일부 전년값 잔존 이슈</t>
        </is>
      </c>
    </row>
    <row r="288">
      <c r="A288" s="16" t="inlineStr">
        <is>
          <t>2025|일반|Q17_3</t>
        </is>
      </c>
      <c r="B288" s="16" t="inlineStr">
        <is>
          <t>2025</t>
        </is>
      </c>
      <c r="C288" s="16" t="inlineStr">
        <is>
          <t>일반</t>
        </is>
      </c>
      <c r="D288" s="16" t="inlineStr">
        <is>
          <t>Q17_3</t>
        </is>
      </c>
      <c r="E288" s="16" t="n">
        <v>0.294</v>
      </c>
      <c r="F288" s="16" t="inlineStr">
        <is>
          <t>시행률</t>
        </is>
      </c>
      <c r="G288" s="16" t="inlineStr"/>
    </row>
    <row r="289">
      <c r="A289" s="16" t="inlineStr">
        <is>
          <t>2025|일반|Q17_3A</t>
        </is>
      </c>
      <c r="B289" s="16" t="inlineStr">
        <is>
          <t>2025</t>
        </is>
      </c>
      <c r="C289" s="16" t="inlineStr">
        <is>
          <t>일반</t>
        </is>
      </c>
      <c r="D289" s="16" t="inlineStr">
        <is>
          <t>Q17_3A</t>
        </is>
      </c>
      <c r="E289" s="16" t="n">
        <v>3.57</v>
      </c>
      <c r="F289" s="16" t="inlineStr">
        <is>
          <t>활성화(1~5)</t>
        </is>
      </c>
      <c r="G289" s="16" t="inlineStr">
        <is>
          <t>2025 활성화 N 일부 전년값 잔존 이슈</t>
        </is>
      </c>
    </row>
    <row r="290">
      <c r="A290" s="16" t="inlineStr">
        <is>
          <t>2025|일반|Q17_4</t>
        </is>
      </c>
      <c r="B290" s="16" t="inlineStr">
        <is>
          <t>2025</t>
        </is>
      </c>
      <c r="C290" s="16" t="inlineStr">
        <is>
          <t>일반</t>
        </is>
      </c>
      <c r="D290" s="16" t="inlineStr">
        <is>
          <t>Q17_4</t>
        </is>
      </c>
      <c r="E290" s="16" t="n">
        <v>0.5679999999999999</v>
      </c>
      <c r="F290" s="16" t="inlineStr">
        <is>
          <t>시행률</t>
        </is>
      </c>
      <c r="G290" s="16" t="inlineStr"/>
    </row>
    <row r="291">
      <c r="A291" s="16" t="inlineStr">
        <is>
          <t>2025|일반|Q17_4A</t>
        </is>
      </c>
      <c r="B291" s="16" t="inlineStr">
        <is>
          <t>2025</t>
        </is>
      </c>
      <c r="C291" s="16" t="inlineStr">
        <is>
          <t>일반</t>
        </is>
      </c>
      <c r="D291" s="16" t="inlineStr">
        <is>
          <t>Q17_4A</t>
        </is>
      </c>
      <c r="E291" s="16" t="n">
        <v>3.61</v>
      </c>
      <c r="F291" s="16" t="inlineStr">
        <is>
          <t>활성화(1~5)</t>
        </is>
      </c>
      <c r="G291" s="16" t="inlineStr">
        <is>
          <t>2025 활성화 N 일부 전년값 잔존 이슈</t>
        </is>
      </c>
    </row>
    <row r="292">
      <c r="A292" s="16" t="inlineStr">
        <is>
          <t>2025|일반|Q17_5</t>
        </is>
      </c>
      <c r="B292" s="16" t="inlineStr">
        <is>
          <t>2025</t>
        </is>
      </c>
      <c r="C292" s="16" t="inlineStr">
        <is>
          <t>일반</t>
        </is>
      </c>
      <c r="D292" s="16" t="inlineStr">
        <is>
          <t>Q17_5</t>
        </is>
      </c>
      <c r="E292" s="16" t="n">
        <v>0.102</v>
      </c>
      <c r="F292" s="16" t="inlineStr">
        <is>
          <t>시행률</t>
        </is>
      </c>
      <c r="G292" s="16" t="inlineStr"/>
    </row>
    <row r="293">
      <c r="A293" s="16" t="inlineStr">
        <is>
          <t>2025|일반|Q17_5A</t>
        </is>
      </c>
      <c r="B293" s="16" t="inlineStr">
        <is>
          <t>2025</t>
        </is>
      </c>
      <c r="C293" s="16" t="inlineStr">
        <is>
          <t>일반</t>
        </is>
      </c>
      <c r="D293" s="16" t="inlineStr">
        <is>
          <t>Q17_5A</t>
        </is>
      </c>
      <c r="E293" s="16" t="n">
        <v>3.65</v>
      </c>
      <c r="F293" s="16" t="inlineStr">
        <is>
          <t>활성화(1~5)</t>
        </is>
      </c>
      <c r="G293" s="16" t="inlineStr">
        <is>
          <t>2025 활성화 N 일부 전년값 잔존 이슈</t>
        </is>
      </c>
    </row>
    <row r="294">
      <c r="A294" s="16" t="inlineStr">
        <is>
          <t>2023|수혜|Q18_1</t>
        </is>
      </c>
      <c r="B294" s="16" t="inlineStr">
        <is>
          <t>2023</t>
        </is>
      </c>
      <c r="C294" s="16" t="inlineStr">
        <is>
          <t>수혜</t>
        </is>
      </c>
      <c r="D294" s="16" t="inlineStr">
        <is>
          <t>Q18_1</t>
        </is>
      </c>
      <c r="E294" s="16" t="n">
        <v>0.02</v>
      </c>
      <c r="F294" s="16" t="inlineStr">
        <is>
          <t>발생률</t>
        </is>
      </c>
      <c r="G294" s="16" t="inlineStr"/>
    </row>
    <row r="295">
      <c r="A295" s="16" t="inlineStr">
        <is>
          <t>2023|수혜|Q18_2</t>
        </is>
      </c>
      <c r="B295" s="16" t="inlineStr">
        <is>
          <t>2023</t>
        </is>
      </c>
      <c r="C295" s="16" t="inlineStr">
        <is>
          <t>수혜</t>
        </is>
      </c>
      <c r="D295" s="16" t="inlineStr">
        <is>
          <t>Q18_2</t>
        </is>
      </c>
      <c r="E295" s="16" t="n">
        <v>0.033</v>
      </c>
      <c r="F295" s="16" t="inlineStr">
        <is>
          <t>발생률</t>
        </is>
      </c>
      <c r="G295" s="16" t="inlineStr"/>
    </row>
    <row r="296">
      <c r="A296" s="16" t="inlineStr">
        <is>
          <t>2023|수혜|Q18_3</t>
        </is>
      </c>
      <c r="B296" s="16" t="inlineStr">
        <is>
          <t>2023</t>
        </is>
      </c>
      <c r="C296" s="16" t="inlineStr">
        <is>
          <t>수혜</t>
        </is>
      </c>
      <c r="D296" s="16" t="inlineStr">
        <is>
          <t>Q18_3</t>
        </is>
      </c>
      <c r="E296" s="16" t="n">
        <v>0.04</v>
      </c>
      <c r="F296" s="16" t="inlineStr">
        <is>
          <t>발생률</t>
        </is>
      </c>
      <c r="G296" s="16" t="inlineStr"/>
    </row>
    <row r="297">
      <c r="A297" s="16" t="inlineStr">
        <is>
          <t>2023|수혜|Q18_4</t>
        </is>
      </c>
      <c r="B297" s="16" t="inlineStr">
        <is>
          <t>2023</t>
        </is>
      </c>
      <c r="C297" s="16" t="inlineStr">
        <is>
          <t>수혜</t>
        </is>
      </c>
      <c r="D297" s="16" t="inlineStr">
        <is>
          <t>Q18_4</t>
        </is>
      </c>
      <c r="E297" s="16" t="n">
        <v>0.015</v>
      </c>
      <c r="F297" s="16" t="inlineStr">
        <is>
          <t>발생률</t>
        </is>
      </c>
      <c r="G297" s="16" t="inlineStr"/>
    </row>
    <row r="298">
      <c r="A298" s="16" t="inlineStr">
        <is>
          <t>2023|일반|Q18_1</t>
        </is>
      </c>
      <c r="B298" s="16" t="inlineStr">
        <is>
          <t>2023</t>
        </is>
      </c>
      <c r="C298" s="16" t="inlineStr">
        <is>
          <t>일반</t>
        </is>
      </c>
      <c r="D298" s="16" t="inlineStr">
        <is>
          <t>Q18_1</t>
        </is>
      </c>
      <c r="E298" s="16" t="n">
        <v>0.023</v>
      </c>
      <c r="F298" s="16" t="inlineStr">
        <is>
          <t>발생률</t>
        </is>
      </c>
      <c r="G298" s="16" t="inlineStr"/>
    </row>
    <row r="299">
      <c r="A299" s="16" t="inlineStr">
        <is>
          <t>2023|일반|Q18_2</t>
        </is>
      </c>
      <c r="B299" s="16" t="inlineStr">
        <is>
          <t>2023</t>
        </is>
      </c>
      <c r="C299" s="16" t="inlineStr">
        <is>
          <t>일반</t>
        </is>
      </c>
      <c r="D299" s="16" t="inlineStr">
        <is>
          <t>Q18_2</t>
        </is>
      </c>
      <c r="E299" s="16" t="n">
        <v>0.029</v>
      </c>
      <c r="F299" s="16" t="inlineStr">
        <is>
          <t>발생률</t>
        </is>
      </c>
      <c r="G299" s="16" t="inlineStr"/>
    </row>
    <row r="300">
      <c r="A300" s="16" t="inlineStr">
        <is>
          <t>2023|일반|Q18_3</t>
        </is>
      </c>
      <c r="B300" s="16" t="inlineStr">
        <is>
          <t>2023</t>
        </is>
      </c>
      <c r="C300" s="16" t="inlineStr">
        <is>
          <t>일반</t>
        </is>
      </c>
      <c r="D300" s="16" t="inlineStr">
        <is>
          <t>Q18_3</t>
        </is>
      </c>
      <c r="E300" s="16" t="n">
        <v>0.047</v>
      </c>
      <c r="F300" s="16" t="inlineStr">
        <is>
          <t>발생률</t>
        </is>
      </c>
      <c r="G300" s="16" t="inlineStr"/>
    </row>
    <row r="301">
      <c r="A301" s="16" t="inlineStr">
        <is>
          <t>2023|일반|Q18_4</t>
        </is>
      </c>
      <c r="B301" s="16" t="inlineStr">
        <is>
          <t>2023</t>
        </is>
      </c>
      <c r="C301" s="16" t="inlineStr">
        <is>
          <t>일반</t>
        </is>
      </c>
      <c r="D301" s="16" t="inlineStr">
        <is>
          <t>Q18_4</t>
        </is>
      </c>
      <c r="E301" s="16" t="n">
        <v>0.016</v>
      </c>
      <c r="F301" s="16" t="inlineStr">
        <is>
          <t>발생률</t>
        </is>
      </c>
      <c r="G301" s="16" t="inlineStr"/>
    </row>
    <row r="302">
      <c r="A302" s="16" t="inlineStr">
        <is>
          <t>2024|수혜|Q18_1</t>
        </is>
      </c>
      <c r="B302" s="16" t="inlineStr">
        <is>
          <t>2024</t>
        </is>
      </c>
      <c r="C302" s="16" t="inlineStr">
        <is>
          <t>수혜</t>
        </is>
      </c>
      <c r="D302" s="16" t="inlineStr">
        <is>
          <t>Q18_1</t>
        </is>
      </c>
      <c r="E302" s="16" t="n">
        <v>0.013</v>
      </c>
      <c r="F302" s="16" t="inlineStr">
        <is>
          <t>발생률</t>
        </is>
      </c>
      <c r="G302" s="16" t="inlineStr"/>
    </row>
    <row r="303">
      <c r="A303" s="16" t="inlineStr">
        <is>
          <t>2024|수혜|Q18_2</t>
        </is>
      </c>
      <c r="B303" s="16" t="inlineStr">
        <is>
          <t>2024</t>
        </is>
      </c>
      <c r="C303" s="16" t="inlineStr">
        <is>
          <t>수혜</t>
        </is>
      </c>
      <c r="D303" s="16" t="inlineStr">
        <is>
          <t>Q18_2</t>
        </is>
      </c>
      <c r="E303" s="16" t="n">
        <v>0.016</v>
      </c>
      <c r="F303" s="16" t="inlineStr">
        <is>
          <t>발생률</t>
        </is>
      </c>
      <c r="G303" s="16" t="inlineStr"/>
    </row>
    <row r="304">
      <c r="A304" s="16" t="inlineStr">
        <is>
          <t>2024|수혜|Q18_3</t>
        </is>
      </c>
      <c r="B304" s="16" t="inlineStr">
        <is>
          <t>2024</t>
        </is>
      </c>
      <c r="C304" s="16" t="inlineStr">
        <is>
          <t>수혜</t>
        </is>
      </c>
      <c r="D304" s="16" t="inlineStr">
        <is>
          <t>Q18_3</t>
        </is>
      </c>
      <c r="E304" s="16" t="n">
        <v>0.033</v>
      </c>
      <c r="F304" s="16" t="inlineStr">
        <is>
          <t>발생률</t>
        </is>
      </c>
      <c r="G304" s="16" t="inlineStr"/>
    </row>
    <row r="305">
      <c r="A305" s="16" t="inlineStr">
        <is>
          <t>2024|수혜|Q18_4</t>
        </is>
      </c>
      <c r="B305" s="16" t="inlineStr">
        <is>
          <t>2024</t>
        </is>
      </c>
      <c r="C305" s="16" t="inlineStr">
        <is>
          <t>수혜</t>
        </is>
      </c>
      <c r="D305" s="16" t="inlineStr">
        <is>
          <t>Q18_4</t>
        </is>
      </c>
      <c r="E305" s="16" t="n">
        <v>0.022</v>
      </c>
      <c r="F305" s="16" t="inlineStr">
        <is>
          <t>발생률</t>
        </is>
      </c>
      <c r="G305" s="16" t="inlineStr"/>
    </row>
    <row r="306">
      <c r="A306" s="16" t="inlineStr">
        <is>
          <t>2024|일반|Q18_1</t>
        </is>
      </c>
      <c r="B306" s="16" t="inlineStr">
        <is>
          <t>2024</t>
        </is>
      </c>
      <c r="C306" s="16" t="inlineStr">
        <is>
          <t>일반</t>
        </is>
      </c>
      <c r="D306" s="16" t="inlineStr">
        <is>
          <t>Q18_1</t>
        </is>
      </c>
      <c r="E306" s="16" t="n">
        <v>0.023</v>
      </c>
      <c r="F306" s="16" t="inlineStr">
        <is>
          <t>발생률</t>
        </is>
      </c>
      <c r="G306" s="16" t="inlineStr"/>
    </row>
    <row r="307">
      <c r="A307" s="16" t="inlineStr">
        <is>
          <t>2024|일반|Q18_2</t>
        </is>
      </c>
      <c r="B307" s="16" t="inlineStr">
        <is>
          <t>2024</t>
        </is>
      </c>
      <c r="C307" s="16" t="inlineStr">
        <is>
          <t>일반</t>
        </is>
      </c>
      <c r="D307" s="16" t="inlineStr">
        <is>
          <t>Q18_2</t>
        </is>
      </c>
      <c r="E307" s="16" t="n">
        <v>0.032</v>
      </c>
      <c r="F307" s="16" t="inlineStr">
        <is>
          <t>발생률</t>
        </is>
      </c>
      <c r="G307" s="16" t="inlineStr"/>
    </row>
    <row r="308">
      <c r="A308" s="16" t="inlineStr">
        <is>
          <t>2024|일반|Q18_3</t>
        </is>
      </c>
      <c r="B308" s="16" t="inlineStr">
        <is>
          <t>2024</t>
        </is>
      </c>
      <c r="C308" s="16" t="inlineStr">
        <is>
          <t>일반</t>
        </is>
      </c>
      <c r="D308" s="16" t="inlineStr">
        <is>
          <t>Q18_3</t>
        </is>
      </c>
      <c r="E308" s="16" t="n">
        <v>0.032</v>
      </c>
      <c r="F308" s="16" t="inlineStr">
        <is>
          <t>발생률</t>
        </is>
      </c>
      <c r="G308" s="16" t="inlineStr"/>
    </row>
    <row r="309">
      <c r="A309" s="16" t="inlineStr">
        <is>
          <t>2024|일반|Q18_4</t>
        </is>
      </c>
      <c r="B309" s="16" t="inlineStr">
        <is>
          <t>2024</t>
        </is>
      </c>
      <c r="C309" s="16" t="inlineStr">
        <is>
          <t>일반</t>
        </is>
      </c>
      <c r="D309" s="16" t="inlineStr">
        <is>
          <t>Q18_4</t>
        </is>
      </c>
      <c r="E309" s="16" t="n">
        <v>0.015</v>
      </c>
      <c r="F309" s="16" t="inlineStr">
        <is>
          <t>발생률</t>
        </is>
      </c>
      <c r="G309" s="16" t="inlineStr"/>
    </row>
    <row r="310">
      <c r="A310" s="16" t="inlineStr">
        <is>
          <t>2025|수혜|Q18_1</t>
        </is>
      </c>
      <c r="B310" s="16" t="inlineStr">
        <is>
          <t>2025</t>
        </is>
      </c>
      <c r="C310" s="16" t="inlineStr">
        <is>
          <t>수혜</t>
        </is>
      </c>
      <c r="D310" s="16" t="inlineStr">
        <is>
          <t>Q18_1</t>
        </is>
      </c>
      <c r="E310" s="16" t="n">
        <v>0.002</v>
      </c>
      <c r="F310" s="16" t="inlineStr">
        <is>
          <t>발생률</t>
        </is>
      </c>
      <c r="G310" s="16" t="inlineStr"/>
    </row>
    <row r="311">
      <c r="A311" s="16" t="inlineStr">
        <is>
          <t>2025|수혜|Q18_2</t>
        </is>
      </c>
      <c r="B311" s="16" t="inlineStr">
        <is>
          <t>2025</t>
        </is>
      </c>
      <c r="C311" s="16" t="inlineStr">
        <is>
          <t>수혜</t>
        </is>
      </c>
      <c r="D311" s="16" t="inlineStr">
        <is>
          <t>Q18_2</t>
        </is>
      </c>
      <c r="E311" s="16" t="n">
        <v>0.02</v>
      </c>
      <c r="F311" s="16" t="inlineStr">
        <is>
          <t>발생률</t>
        </is>
      </c>
      <c r="G311" s="16" t="inlineStr"/>
    </row>
    <row r="312">
      <c r="A312" s="16" t="inlineStr">
        <is>
          <t>2025|수혜|Q18_3</t>
        </is>
      </c>
      <c r="B312" s="16" t="inlineStr">
        <is>
          <t>2025</t>
        </is>
      </c>
      <c r="C312" s="16" t="inlineStr">
        <is>
          <t>수혜</t>
        </is>
      </c>
      <c r="D312" s="16" t="inlineStr">
        <is>
          <t>Q18_3</t>
        </is>
      </c>
      <c r="E312" s="16" t="n">
        <v>0.031</v>
      </c>
      <c r="F312" s="16" t="inlineStr">
        <is>
          <t>발생률</t>
        </is>
      </c>
      <c r="G312" s="16" t="inlineStr"/>
    </row>
    <row r="313">
      <c r="A313" s="16" t="inlineStr">
        <is>
          <t>2025|수혜|Q18_4</t>
        </is>
      </c>
      <c r="B313" s="16" t="inlineStr">
        <is>
          <t>2025</t>
        </is>
      </c>
      <c r="C313" s="16" t="inlineStr">
        <is>
          <t>수혜</t>
        </is>
      </c>
      <c r="D313" s="16" t="inlineStr">
        <is>
          <t>Q18_4</t>
        </is>
      </c>
      <c r="E313" s="16" t="n">
        <v>0.009000000000000001</v>
      </c>
      <c r="F313" s="16" t="inlineStr">
        <is>
          <t>발생률</t>
        </is>
      </c>
      <c r="G313" s="16" t="inlineStr"/>
    </row>
    <row r="314">
      <c r="A314" s="16" t="inlineStr">
        <is>
          <t>2025|일반|Q18_1</t>
        </is>
      </c>
      <c r="B314" s="16" t="inlineStr">
        <is>
          <t>2025</t>
        </is>
      </c>
      <c r="C314" s="16" t="inlineStr">
        <is>
          <t>일반</t>
        </is>
      </c>
      <c r="D314" s="16" t="inlineStr">
        <is>
          <t>Q18_1</t>
        </is>
      </c>
      <c r="E314" s="16" t="n">
        <v>0.009000000000000001</v>
      </c>
      <c r="F314" s="16" t="inlineStr">
        <is>
          <t>발생률</t>
        </is>
      </c>
      <c r="G314" s="16" t="inlineStr"/>
    </row>
    <row r="315">
      <c r="A315" s="16" t="inlineStr">
        <is>
          <t>2025|일반|Q18_2</t>
        </is>
      </c>
      <c r="B315" s="16" t="inlineStr">
        <is>
          <t>2025</t>
        </is>
      </c>
      <c r="C315" s="16" t="inlineStr">
        <is>
          <t>일반</t>
        </is>
      </c>
      <c r="D315" s="16" t="inlineStr">
        <is>
          <t>Q18_2</t>
        </is>
      </c>
      <c r="E315" s="16" t="n">
        <v>0.019</v>
      </c>
      <c r="F315" s="16" t="inlineStr">
        <is>
          <t>발생률</t>
        </is>
      </c>
      <c r="G315" s="16" t="inlineStr"/>
    </row>
    <row r="316">
      <c r="A316" s="16" t="inlineStr">
        <is>
          <t>2025|일반|Q18_3</t>
        </is>
      </c>
      <c r="B316" s="16" t="inlineStr">
        <is>
          <t>2025</t>
        </is>
      </c>
      <c r="C316" s="16" t="inlineStr">
        <is>
          <t>일반</t>
        </is>
      </c>
      <c r="D316" s="16" t="inlineStr">
        <is>
          <t>Q18_3</t>
        </is>
      </c>
      <c r="E316" s="16" t="n">
        <v>0.019</v>
      </c>
      <c r="F316" s="16" t="inlineStr">
        <is>
          <t>발생률</t>
        </is>
      </c>
      <c r="G316" s="16" t="inlineStr"/>
    </row>
    <row r="317">
      <c r="A317" s="16" t="inlineStr">
        <is>
          <t>2025|일반|Q18_4</t>
        </is>
      </c>
      <c r="B317" s="16" t="inlineStr">
        <is>
          <t>2025</t>
        </is>
      </c>
      <c r="C317" s="16" t="inlineStr">
        <is>
          <t>일반</t>
        </is>
      </c>
      <c r="D317" s="16" t="inlineStr">
        <is>
          <t>Q18_4</t>
        </is>
      </c>
      <c r="E317" s="16" t="n">
        <v>0.011</v>
      </c>
      <c r="F317" s="16" t="inlineStr">
        <is>
          <t>발생률</t>
        </is>
      </c>
      <c r="G317" s="16" t="inlineStr"/>
    </row>
    <row r="319">
      <c r="A319" s="42" t="inlineStr">
        <is>
          <t>④ 파트별 개선 처방</t>
        </is>
      </c>
    </row>
    <row r="320">
      <c r="A320" s="16" t="inlineStr">
        <is>
          <t>P1</t>
        </is>
      </c>
      <c r="B320" s="17" t="inlineStr">
        <is>
          <t>노사 신뢰의 기본기. 정기 노사간담회와 현안 사전공유 규칙(‘반대 전에 먼저 협의’)을 운영하세요.</t>
        </is>
      </c>
    </row>
    <row r="321">
      <c r="A321" s="16" t="inlineStr">
        <is>
          <t>P2</t>
        </is>
      </c>
      <c r="B321" s="17" t="inlineStr">
        <is>
          <t>노조·근로자대표가 교육·고용안정·참여·평가보상 혁신에 함께하도록 사전설명회와 노사공동 TF를 꾸리세요.</t>
        </is>
      </c>
    </row>
    <row r="322">
      <c r="A322" s="16" t="inlineStr">
        <is>
          <t>P3</t>
        </is>
      </c>
      <c r="B322" s="17" t="inlineStr">
        <is>
          <t>시행하지 않는 협력 프로그램(공동교육·공동결의 등)부터 연 1회 도입하고, 시행 중인 것은 실질 의제를 넣어 활성화하세요.</t>
        </is>
      </c>
    </row>
    <row r="323">
      <c r="A323" s="16" t="inlineStr">
        <is>
          <t>P4</t>
        </is>
      </c>
      <c r="B323" s="17" t="inlineStr">
        <is>
          <t>갈등 발생 항목이 있습니다. 쟁점·이력 분석과 재발방지 협의체(분쟁 조기경보)를 가동하세요.</t>
        </is>
      </c>
    </row>
    <row r="324">
      <c r="A324" s="16" t="inlineStr">
        <is>
          <t>P5</t>
        </is>
      </c>
      <c r="B324" s="17" t="inlineStr">
        <is>
          <t>분기 경영설명회·사내 게시로 경영정보를 정기 공유하고, 경영진 현장간담회와 노사대표 핫라인을 정비하세요.</t>
        </is>
      </c>
    </row>
    <row r="325">
      <c r="A325" s="16" t="inlineStr">
        <is>
          <t>P6</t>
        </is>
      </c>
      <c r="B325" s="17" t="inlineStr">
        <is>
          <t>공식 고충창구(고충처리위원·온라인)를 알리고 처리기한·결과 피드백 규칙을 만들어 만족도를 높이세요.</t>
        </is>
      </c>
    </row>
    <row r="326">
      <c r="A326" s="16" t="inlineStr">
        <is>
          <t>P7</t>
        </is>
      </c>
      <c r="B326" s="17" t="inlineStr">
        <is>
          <t>노사협의회 안건을 경영실적·인사노무·안전보건·복지·생산성 5개 축으로 고르게 상정하고 회의결과를 전 직원에 공개하세요.</t>
        </is>
      </c>
    </row>
  </sheetData>
  <mergeCells count="7">
    <mergeCell ref="B321:G321"/>
    <mergeCell ref="B322:G322"/>
    <mergeCell ref="B320:G320"/>
    <mergeCell ref="B326:G326"/>
    <mergeCell ref="B325:G325"/>
    <mergeCell ref="B323:G323"/>
    <mergeCell ref="B324:G3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  <col width="11" customWidth="1" min="18" max="18"/>
    <col width="9" customWidth="1" min="19" max="19"/>
  </cols>
  <sheetData>
    <row r="1">
      <c r="A1" s="6" t="inlineStr">
        <is>
          <t>역산검증 — 공표 문항평균으로 공식 표준화값을 재현(수식이 실시간 계산)</t>
        </is>
      </c>
    </row>
    <row r="2">
      <c r="A2" s="7" t="inlineStr">
        <is>
          <t>판정 허용오차: 문항평균은 소수 둘째 자리 반올림(±0.005)이므로 x/5는 ±0.00105, (x−1)/4는 ±0.0013 이내면 ‘일치’.</t>
        </is>
      </c>
    </row>
    <row r="4">
      <c r="A4" s="11" t="inlineStr">
        <is>
          <t>연도</t>
        </is>
      </c>
      <c r="B4" s="11" t="inlineStr">
        <is>
          <t>집단</t>
        </is>
      </c>
      <c r="C4" s="11" t="inlineStr">
        <is>
          <t>블록</t>
        </is>
      </c>
      <c r="D4" s="11" t="inlineStr">
        <is>
          <t>평균1</t>
        </is>
      </c>
      <c r="E4" s="11" t="inlineStr">
        <is>
          <t>평균2</t>
        </is>
      </c>
      <c r="F4" s="11" t="inlineStr">
        <is>
          <t>평균3</t>
        </is>
      </c>
      <c r="G4" s="11" t="inlineStr">
        <is>
          <t>평균4</t>
        </is>
      </c>
      <c r="H4" s="11" t="inlineStr">
        <is>
          <t>평균5</t>
        </is>
      </c>
      <c r="I4" s="11" t="inlineStr">
        <is>
          <t>평균6</t>
        </is>
      </c>
      <c r="J4" s="11" t="inlineStr">
        <is>
          <t>평균7</t>
        </is>
      </c>
      <c r="K4" s="11" t="inlineStr">
        <is>
          <t>평균8</t>
        </is>
      </c>
      <c r="L4" s="11" t="inlineStr">
        <is>
          <t>평균9</t>
        </is>
      </c>
      <c r="M4" s="11" t="inlineStr">
        <is>
          <t>블록평균</t>
        </is>
      </c>
      <c r="N4" s="11" t="inlineStr">
        <is>
          <t>x/5</t>
        </is>
      </c>
      <c r="O4" s="11" t="inlineStr">
        <is>
          <t>(x−1)/4</t>
        </is>
      </c>
      <c r="P4" s="11" t="inlineStr">
        <is>
          <t>공식값</t>
        </is>
      </c>
      <c r="Q4" s="11" t="inlineStr">
        <is>
          <t>x/5 판정</t>
        </is>
      </c>
      <c r="R4" s="11" t="inlineStr">
        <is>
          <t>(x−1)/4 판정</t>
        </is>
      </c>
    </row>
    <row r="5">
      <c r="A5" s="16" t="inlineStr">
        <is>
          <t>2023</t>
        </is>
      </c>
      <c r="B5" s="16" t="inlineStr">
        <is>
          <t>수혜</t>
        </is>
      </c>
      <c r="C5" s="16" t="inlineStr">
        <is>
          <t>Q16</t>
        </is>
      </c>
      <c r="D5" s="16" t="n">
        <v>3.54</v>
      </c>
      <c r="E5" s="16" t="n">
        <v>3.56</v>
      </c>
      <c r="F5" s="16" t="n">
        <v>3.84</v>
      </c>
      <c r="G5" s="16" t="n">
        <v>3.77</v>
      </c>
      <c r="H5" s="16" t="n"/>
      <c r="I5" s="16" t="n"/>
      <c r="J5" s="16" t="n"/>
      <c r="K5" s="16" t="n"/>
      <c r="L5" s="16" t="n"/>
      <c r="M5" s="43">
        <f>AVERAGE(D5:L5)</f>
        <v/>
      </c>
      <c r="N5" s="43">
        <f>M5/5</f>
        <v/>
      </c>
      <c r="O5" s="43">
        <f>(M5-1)/4</f>
        <v/>
      </c>
      <c r="P5" s="43" t="n">
        <v>0.7356</v>
      </c>
      <c r="Q5" s="16">
        <f>IF(ABS(N5-P5)&lt;=0.00105,"일치","불일치")</f>
        <v/>
      </c>
      <c r="R5" s="16">
        <f>IF(ABS(O5-P5)&lt;=0.0013,"일치","불일치")</f>
        <v/>
      </c>
    </row>
    <row r="6">
      <c r="A6" s="16" t="inlineStr">
        <is>
          <t>2023</t>
        </is>
      </c>
      <c r="B6" s="16" t="inlineStr">
        <is>
          <t>일반</t>
        </is>
      </c>
      <c r="C6" s="16" t="inlineStr">
        <is>
          <t>Q16</t>
        </is>
      </c>
      <c r="D6" s="16" t="n">
        <v>3.39</v>
      </c>
      <c r="E6" s="16" t="n">
        <v>3.4</v>
      </c>
      <c r="F6" s="16" t="n">
        <v>3.65</v>
      </c>
      <c r="G6" s="16" t="n">
        <v>3.58</v>
      </c>
      <c r="H6" s="16" t="n"/>
      <c r="I6" s="16" t="n"/>
      <c r="J6" s="16" t="n"/>
      <c r="K6" s="16" t="n"/>
      <c r="L6" s="16" t="n"/>
      <c r="M6" s="43">
        <f>AVERAGE(D6:L6)</f>
        <v/>
      </c>
      <c r="N6" s="43">
        <f>M6/5</f>
        <v/>
      </c>
      <c r="O6" s="43">
        <f>(M6-1)/4</f>
        <v/>
      </c>
      <c r="P6" s="43" t="n">
        <v>0.701</v>
      </c>
      <c r="Q6" s="16">
        <f>IF(ABS(N6-P6)&lt;=0.00105,"일치","불일치")</f>
        <v/>
      </c>
      <c r="R6" s="16">
        <f>IF(ABS(O6-P6)&lt;=0.0013,"일치","불일치")</f>
        <v/>
      </c>
    </row>
    <row r="7">
      <c r="A7" s="16" t="inlineStr">
        <is>
          <t>2024</t>
        </is>
      </c>
      <c r="B7" s="16" t="inlineStr">
        <is>
          <t>수혜</t>
        </is>
      </c>
      <c r="C7" s="16" t="inlineStr">
        <is>
          <t>Q16</t>
        </is>
      </c>
      <c r="D7" s="16" t="n">
        <v>3.57</v>
      </c>
      <c r="E7" s="16" t="n">
        <v>3.58</v>
      </c>
      <c r="F7" s="16" t="n">
        <v>3.93</v>
      </c>
      <c r="G7" s="16" t="n">
        <v>3.83</v>
      </c>
      <c r="H7" s="16" t="n"/>
      <c r="I7" s="16" t="n"/>
      <c r="J7" s="16" t="n"/>
      <c r="K7" s="16" t="n"/>
      <c r="L7" s="16" t="n"/>
      <c r="M7" s="43">
        <f>AVERAGE(D7:L7)</f>
        <v/>
      </c>
      <c r="N7" s="43">
        <f>M7/5</f>
        <v/>
      </c>
      <c r="O7" s="43">
        <f>(M7-1)/4</f>
        <v/>
      </c>
      <c r="P7" s="43" t="n">
        <v>0.7455000000000001</v>
      </c>
      <c r="Q7" s="16">
        <f>IF(ABS(N7-P7)&lt;=0.00105,"일치","불일치")</f>
        <v/>
      </c>
      <c r="R7" s="16">
        <f>IF(ABS(O7-P7)&lt;=0.0013,"일치","불일치")</f>
        <v/>
      </c>
    </row>
    <row r="8">
      <c r="A8" s="16" t="inlineStr">
        <is>
          <t>2024</t>
        </is>
      </c>
      <c r="B8" s="16" t="inlineStr">
        <is>
          <t>일반</t>
        </is>
      </c>
      <c r="C8" s="16" t="inlineStr">
        <is>
          <t>Q16</t>
        </is>
      </c>
      <c r="D8" s="16" t="n">
        <v>3.49</v>
      </c>
      <c r="E8" s="16" t="n">
        <v>3.48</v>
      </c>
      <c r="F8" s="16" t="n">
        <v>3.76</v>
      </c>
      <c r="G8" s="16" t="n">
        <v>3.69</v>
      </c>
      <c r="H8" s="16" t="n"/>
      <c r="I8" s="16" t="n"/>
      <c r="J8" s="16" t="n"/>
      <c r="K8" s="16" t="n"/>
      <c r="L8" s="16" t="n"/>
      <c r="M8" s="43">
        <f>AVERAGE(D8:L8)</f>
        <v/>
      </c>
      <c r="N8" s="43">
        <f>M8/5</f>
        <v/>
      </c>
      <c r="O8" s="43">
        <f>(M8-1)/4</f>
        <v/>
      </c>
      <c r="P8" s="43" t="n">
        <v>0.721</v>
      </c>
      <c r="Q8" s="16">
        <f>IF(ABS(N8-P8)&lt;=0.00105,"일치","불일치")</f>
        <v/>
      </c>
      <c r="R8" s="16">
        <f>IF(ABS(O8-P8)&lt;=0.0013,"일치","불일치")</f>
        <v/>
      </c>
    </row>
    <row r="9">
      <c r="A9" s="16" t="inlineStr">
        <is>
          <t>2024</t>
        </is>
      </c>
      <c r="B9" s="16" t="inlineStr">
        <is>
          <t>수혜</t>
        </is>
      </c>
      <c r="C9" s="16" t="inlineStr">
        <is>
          <t>Q19</t>
        </is>
      </c>
      <c r="D9" s="16" t="n">
        <v>3.62</v>
      </c>
      <c r="E9" s="16" t="n">
        <v>3.6</v>
      </c>
      <c r="F9" s="16" t="n">
        <v>3.56</v>
      </c>
      <c r="G9" s="16" t="n">
        <v>3.36</v>
      </c>
      <c r="H9" s="16" t="n"/>
      <c r="I9" s="16" t="n"/>
      <c r="J9" s="16" t="n"/>
      <c r="K9" s="16" t="n"/>
      <c r="L9" s="16" t="n"/>
      <c r="M9" s="43">
        <f>AVERAGE(D9:L9)</f>
        <v/>
      </c>
      <c r="N9" s="43">
        <f>M9/5</f>
        <v/>
      </c>
      <c r="O9" s="43">
        <f>(M9-1)/4</f>
        <v/>
      </c>
      <c r="P9" s="43" t="n">
        <v>0.7072000000000001</v>
      </c>
      <c r="Q9" s="16">
        <f>IF(ABS(N9-P9)&lt;=0.00105,"일치","불일치")</f>
        <v/>
      </c>
      <c r="R9" s="16">
        <f>IF(ABS(O9-P9)&lt;=0.0013,"일치","불일치")</f>
        <v/>
      </c>
    </row>
    <row r="10">
      <c r="A10" s="16" t="inlineStr">
        <is>
          <t>2024</t>
        </is>
      </c>
      <c r="B10" s="16" t="inlineStr">
        <is>
          <t>일반</t>
        </is>
      </c>
      <c r="C10" s="16" t="inlineStr">
        <is>
          <t>Q19</t>
        </is>
      </c>
      <c r="D10" s="16" t="n">
        <v>3.55</v>
      </c>
      <c r="E10" s="16" t="n">
        <v>3.54</v>
      </c>
      <c r="F10" s="16" t="n">
        <v>3.48</v>
      </c>
      <c r="G10" s="16" t="n">
        <v>3.38</v>
      </c>
      <c r="H10" s="16" t="n"/>
      <c r="I10" s="16" t="n"/>
      <c r="J10" s="16" t="n"/>
      <c r="K10" s="16" t="n"/>
      <c r="L10" s="16" t="n"/>
      <c r="M10" s="43">
        <f>AVERAGE(D10:L10)</f>
        <v/>
      </c>
      <c r="N10" s="43">
        <f>M10/5</f>
        <v/>
      </c>
      <c r="O10" s="43">
        <f>(M10-1)/4</f>
        <v/>
      </c>
      <c r="P10" s="43" t="n">
        <v>0.6973</v>
      </c>
      <c r="Q10" s="16">
        <f>IF(ABS(N10-P10)&lt;=0.00105,"일치","불일치")</f>
        <v/>
      </c>
      <c r="R10" s="16">
        <f>IF(ABS(O10-P10)&lt;=0.0013,"일치","불일치")</f>
        <v/>
      </c>
    </row>
    <row r="11">
      <c r="A11" s="16" t="inlineStr">
        <is>
          <t>2024</t>
        </is>
      </c>
      <c r="B11" s="16" t="inlineStr">
        <is>
          <t>수혜</t>
        </is>
      </c>
      <c r="C11" s="16" t="inlineStr">
        <is>
          <t>Q21+22</t>
        </is>
      </c>
      <c r="D11" s="16" t="n">
        <v>3.64</v>
      </c>
      <c r="E11" s="16" t="n">
        <v>3.41</v>
      </c>
      <c r="F11" s="16" t="n">
        <v>3.46</v>
      </c>
      <c r="G11" s="16" t="n">
        <v>3.57</v>
      </c>
      <c r="H11" s="16" t="n">
        <v>3.37</v>
      </c>
      <c r="I11" s="16" t="n">
        <v>3.55</v>
      </c>
      <c r="J11" s="16" t="n">
        <v>3.31</v>
      </c>
      <c r="K11" s="16" t="n">
        <v>3.43</v>
      </c>
      <c r="L11" s="16" t="n">
        <v>3.44</v>
      </c>
      <c r="M11" s="43">
        <f>AVERAGE(D11:L11)</f>
        <v/>
      </c>
      <c r="N11" s="43">
        <f>M11/5</f>
        <v/>
      </c>
      <c r="O11" s="43">
        <f>(M11-1)/4</f>
        <v/>
      </c>
      <c r="P11" s="43" t="n">
        <v>0.6929999999999999</v>
      </c>
      <c r="Q11" s="16">
        <f>IF(ABS(N11-P11)&lt;=0.00105,"일치","불일치")</f>
        <v/>
      </c>
      <c r="R11" s="16">
        <f>IF(ABS(O11-P11)&lt;=0.0013,"일치","불일치")</f>
        <v/>
      </c>
    </row>
    <row r="12">
      <c r="A12" s="16" t="inlineStr">
        <is>
          <t>2024</t>
        </is>
      </c>
      <c r="B12" s="16" t="inlineStr">
        <is>
          <t>일반</t>
        </is>
      </c>
      <c r="C12" s="16" t="inlineStr">
        <is>
          <t>Q21+22</t>
        </is>
      </c>
      <c r="D12" s="16" t="n">
        <v>3.48</v>
      </c>
      <c r="E12" s="16" t="n">
        <v>3.27</v>
      </c>
      <c r="F12" s="16" t="n">
        <v>3.34</v>
      </c>
      <c r="G12" s="16" t="n">
        <v>3.45</v>
      </c>
      <c r="H12" s="16" t="n">
        <v>3.24</v>
      </c>
      <c r="I12" s="16" t="n">
        <v>3.48</v>
      </c>
      <c r="J12" s="16" t="n">
        <v>3.26</v>
      </c>
      <c r="K12" s="16" t="n">
        <v>3.31</v>
      </c>
      <c r="L12" s="16" t="n">
        <v>3.41</v>
      </c>
      <c r="M12" s="43">
        <f>AVERAGE(D12:L12)</f>
        <v/>
      </c>
      <c r="N12" s="43">
        <f>M12/5</f>
        <v/>
      </c>
      <c r="O12" s="43">
        <f>(M12-1)/4</f>
        <v/>
      </c>
      <c r="P12" s="43" t="n">
        <v>0.6721</v>
      </c>
      <c r="Q12" s="16">
        <f>IF(ABS(N12-P12)&lt;=0.00105,"일치","불일치")</f>
        <v/>
      </c>
      <c r="R12" s="16">
        <f>IF(ABS(O12-P12)&lt;=0.0013,"일치","불일치")</f>
        <v/>
      </c>
    </row>
    <row r="13">
      <c r="A13" s="16" t="inlineStr">
        <is>
          <t>2024</t>
        </is>
      </c>
      <c r="B13" s="16" t="inlineStr">
        <is>
          <t>수혜</t>
        </is>
      </c>
      <c r="C13" s="16" t="inlineStr">
        <is>
          <t>Q23</t>
        </is>
      </c>
      <c r="D13" s="16" t="n">
        <v>3.27</v>
      </c>
      <c r="E13" s="16" t="n">
        <v>3.4</v>
      </c>
      <c r="F13" s="16" t="n">
        <v>3.57</v>
      </c>
      <c r="G13" s="16" t="n">
        <v>3.65</v>
      </c>
      <c r="H13" s="16" t="n">
        <v>3.35</v>
      </c>
      <c r="I13" s="16" t="n"/>
      <c r="J13" s="16" t="n"/>
      <c r="K13" s="16" t="n"/>
      <c r="L13" s="16" t="n"/>
      <c r="M13" s="43">
        <f>AVERAGE(D13:L13)</f>
        <v/>
      </c>
      <c r="N13" s="43">
        <f>M13/5</f>
        <v/>
      </c>
      <c r="O13" s="43">
        <f>(M13-1)/4</f>
        <v/>
      </c>
      <c r="P13" s="43" t="n">
        <v>0.6903</v>
      </c>
      <c r="Q13" s="16">
        <f>IF(ABS(N13-P13)&lt;=0.00105,"일치","불일치")</f>
        <v/>
      </c>
      <c r="R13" s="16">
        <f>IF(ABS(O13-P13)&lt;=0.0013,"일치","불일치")</f>
        <v/>
      </c>
    </row>
    <row r="14">
      <c r="A14" s="16" t="inlineStr">
        <is>
          <t>2024</t>
        </is>
      </c>
      <c r="B14" s="16" t="inlineStr">
        <is>
          <t>일반</t>
        </is>
      </c>
      <c r="C14" s="16" t="inlineStr">
        <is>
          <t>Q23</t>
        </is>
      </c>
      <c r="D14" s="16" t="n">
        <v>3.18</v>
      </c>
      <c r="E14" s="16" t="n">
        <v>3.24</v>
      </c>
      <c r="F14" s="16" t="n">
        <v>3.46</v>
      </c>
      <c r="G14" s="16" t="n">
        <v>3.49</v>
      </c>
      <c r="H14" s="16" t="n">
        <v>3.3</v>
      </c>
      <c r="I14" s="16" t="n"/>
      <c r="J14" s="16" t="n"/>
      <c r="K14" s="16" t="n"/>
      <c r="L14" s="16" t="n"/>
      <c r="M14" s="43">
        <f>AVERAGE(D14:L14)</f>
        <v/>
      </c>
      <c r="N14" s="43">
        <f>M14/5</f>
        <v/>
      </c>
      <c r="O14" s="43">
        <f>(M14-1)/4</f>
        <v/>
      </c>
      <c r="P14" s="43" t="n">
        <v>0.667</v>
      </c>
      <c r="Q14" s="16">
        <f>IF(ABS(N14-P14)&lt;=0.00105,"일치","불일치")</f>
        <v/>
      </c>
      <c r="R14" s="16">
        <f>IF(ABS(O14-P14)&lt;=0.0013,"일치","불일치")</f>
        <v/>
      </c>
    </row>
    <row r="15">
      <c r="A15" s="16" t="inlineStr">
        <is>
          <t>2024</t>
        </is>
      </c>
      <c r="B15" s="16" t="inlineStr">
        <is>
          <t>수혜</t>
        </is>
      </c>
      <c r="C15" s="16" t="inlineStr">
        <is>
          <t>Q24</t>
        </is>
      </c>
      <c r="D15" s="16" t="n">
        <v>3.7</v>
      </c>
      <c r="E15" s="16" t="n">
        <v>3.79</v>
      </c>
      <c r="F15" s="16" t="n">
        <v>3.72</v>
      </c>
      <c r="G15" s="16" t="n">
        <v>3.65</v>
      </c>
      <c r="H15" s="16" t="n">
        <v>3.73</v>
      </c>
      <c r="I15" s="16" t="n"/>
      <c r="J15" s="16" t="n"/>
      <c r="K15" s="16" t="n"/>
      <c r="L15" s="16" t="n"/>
      <c r="M15" s="43">
        <f>AVERAGE(D15:L15)</f>
        <v/>
      </c>
      <c r="N15" s="43">
        <f>M15/5</f>
        <v/>
      </c>
      <c r="O15" s="43">
        <f>(M15-1)/4</f>
        <v/>
      </c>
      <c r="P15" s="43" t="n">
        <v>0.7433999999999999</v>
      </c>
      <c r="Q15" s="16">
        <f>IF(ABS(N15-P15)&lt;=0.00105,"일치","불일치")</f>
        <v/>
      </c>
      <c r="R15" s="16">
        <f>IF(ABS(O15-P15)&lt;=0.0013,"일치","불일치")</f>
        <v/>
      </c>
    </row>
    <row r="16">
      <c r="A16" s="16" t="inlineStr">
        <is>
          <t>2024</t>
        </is>
      </c>
      <c r="B16" s="16" t="inlineStr">
        <is>
          <t>일반</t>
        </is>
      </c>
      <c r="C16" s="16" t="inlineStr">
        <is>
          <t>Q24</t>
        </is>
      </c>
      <c r="D16" s="16" t="n">
        <v>3.39</v>
      </c>
      <c r="E16" s="16" t="n">
        <v>3.53</v>
      </c>
      <c r="F16" s="16" t="n">
        <v>3.45</v>
      </c>
      <c r="G16" s="16" t="n">
        <v>3.38</v>
      </c>
      <c r="H16" s="16" t="n">
        <v>3.4</v>
      </c>
      <c r="I16" s="16" t="n"/>
      <c r="J16" s="16" t="n"/>
      <c r="K16" s="16" t="n"/>
      <c r="L16" s="16" t="n"/>
      <c r="M16" s="43">
        <f>AVERAGE(D16:L16)</f>
        <v/>
      </c>
      <c r="N16" s="43">
        <f>M16/5</f>
        <v/>
      </c>
      <c r="O16" s="43">
        <f>(M16-1)/4</f>
        <v/>
      </c>
      <c r="P16" s="43" t="n">
        <v>0.6862</v>
      </c>
      <c r="Q16" s="16">
        <f>IF(ABS(N16-P16)&lt;=0.00105,"일치","불일치")</f>
        <v/>
      </c>
      <c r="R16" s="16">
        <f>IF(ABS(O16-P16)&lt;=0.0013,"일치","불일치")</f>
        <v/>
      </c>
    </row>
    <row r="17">
      <c r="A17" s="16" t="inlineStr">
        <is>
          <t>2025</t>
        </is>
      </c>
      <c r="B17" s="16" t="inlineStr">
        <is>
          <t>수혜</t>
        </is>
      </c>
      <c r="C17" s="16" t="inlineStr">
        <is>
          <t>Q16</t>
        </is>
      </c>
      <c r="D17" s="16" t="n">
        <v>3.56</v>
      </c>
      <c r="E17" s="16" t="n">
        <v>3.61</v>
      </c>
      <c r="F17" s="16" t="n">
        <v>3.88</v>
      </c>
      <c r="G17" s="16" t="n">
        <v>3.8</v>
      </c>
      <c r="H17" s="16" t="n"/>
      <c r="I17" s="16" t="n"/>
      <c r="J17" s="16" t="n"/>
      <c r="K17" s="16" t="n"/>
      <c r="L17" s="16" t="n"/>
      <c r="M17" s="43">
        <f>AVERAGE(D17:L17)</f>
        <v/>
      </c>
      <c r="N17" s="43">
        <f>M17/5</f>
        <v/>
      </c>
      <c r="O17" s="43">
        <f>(M17-1)/4</f>
        <v/>
      </c>
      <c r="P17" s="43" t="n">
        <v>0.6778999999999999</v>
      </c>
      <c r="Q17" s="16">
        <f>IF(ABS(N17-P17)&lt;=0.00105,"일치","불일치")</f>
        <v/>
      </c>
      <c r="R17" s="16">
        <f>IF(ABS(O17-P17)&lt;=0.0013,"일치","불일치")</f>
        <v/>
      </c>
    </row>
    <row r="18">
      <c r="A18" s="16" t="inlineStr">
        <is>
          <t>2025</t>
        </is>
      </c>
      <c r="B18" s="16" t="inlineStr">
        <is>
          <t>일반</t>
        </is>
      </c>
      <c r="C18" s="16" t="inlineStr">
        <is>
          <t>Q16</t>
        </is>
      </c>
      <c r="D18" s="16" t="n">
        <v>3.42</v>
      </c>
      <c r="E18" s="16" t="n">
        <v>3.46</v>
      </c>
      <c r="F18" s="16" t="n">
        <v>3.64</v>
      </c>
      <c r="G18" s="16" t="n">
        <v>3.62</v>
      </c>
      <c r="H18" s="16" t="n"/>
      <c r="I18" s="16" t="n"/>
      <c r="J18" s="16" t="n"/>
      <c r="K18" s="16" t="n"/>
      <c r="L18" s="16" t="n"/>
      <c r="M18" s="43">
        <f>AVERAGE(D18:L18)</f>
        <v/>
      </c>
      <c r="N18" s="43">
        <f>M18/5</f>
        <v/>
      </c>
      <c r="O18" s="43">
        <f>(M18-1)/4</f>
        <v/>
      </c>
      <c r="P18" s="43" t="n">
        <v>0.634</v>
      </c>
      <c r="Q18" s="16">
        <f>IF(ABS(N18-P18)&lt;=0.00105,"일치","불일치")</f>
        <v/>
      </c>
      <c r="R18" s="16">
        <f>IF(ABS(O18-P18)&lt;=0.0013,"일치","불일치")</f>
        <v/>
      </c>
    </row>
    <row r="20">
      <c r="A20" s="20" t="inlineStr">
        <is>
          <t>결론: 2023·2024년은 ‘평균÷5’, 2025년은 ‘(평균−1)÷4’로 5점척도를 0~1로 바꾼 뒤 블록 배점을 곱함. 블록 안 문항은 동일가중(단순평균).</t>
        </is>
      </c>
    </row>
    <row r="22">
      <c r="A22" s="42" t="inlineStr">
        <is>
          <t>문17 노사협력 프로그램(13점) — 후보식 비교</t>
        </is>
      </c>
    </row>
    <row r="23">
      <c r="A23" s="11" t="inlineStr">
        <is>
          <t>연도</t>
        </is>
      </c>
      <c r="B23" s="11" t="inlineStr">
        <is>
          <t>집단</t>
        </is>
      </c>
      <c r="C23" s="11" t="inlineStr"/>
      <c r="D23" s="11" t="inlineStr">
        <is>
          <t>시행률1</t>
        </is>
      </c>
      <c r="E23" s="11" t="inlineStr">
        <is>
          <t>시행률2</t>
        </is>
      </c>
      <c r="F23" s="11" t="inlineStr">
        <is>
          <t>시행률3</t>
        </is>
      </c>
      <c r="G23" s="11" t="inlineStr">
        <is>
          <t>시행률4</t>
        </is>
      </c>
      <c r="H23" s="11" t="inlineStr">
        <is>
          <t>시행률5</t>
        </is>
      </c>
      <c r="I23" s="11" t="inlineStr">
        <is>
          <t>활성1</t>
        </is>
      </c>
      <c r="J23" s="11" t="inlineStr">
        <is>
          <t>활성2</t>
        </is>
      </c>
      <c r="K23" s="11" t="inlineStr">
        <is>
          <t>활성3</t>
        </is>
      </c>
      <c r="L23" s="11" t="inlineStr">
        <is>
          <t>활성4</t>
        </is>
      </c>
      <c r="M23" s="11" t="inlineStr">
        <is>
          <t>활성5</t>
        </is>
      </c>
      <c r="N23" s="11" t="inlineStr">
        <is>
          <t>(미시행1·시행a)/5</t>
        </is>
      </c>
      <c r="O23" s="11" t="inlineStr">
        <is>
          <t>시행률평균</t>
        </is>
      </c>
      <c r="P23" s="11" t="inlineStr">
        <is>
          <t>공식값</t>
        </is>
      </c>
      <c r="Q23" s="11" t="inlineStr">
        <is>
          <t>후보1 판정</t>
        </is>
      </c>
      <c r="R23" s="11" t="inlineStr">
        <is>
          <t>후보2 판정</t>
        </is>
      </c>
    </row>
    <row r="24">
      <c r="A24" s="16" t="inlineStr">
        <is>
          <t>2023</t>
        </is>
      </c>
      <c r="B24" s="16" t="inlineStr">
        <is>
          <t>수혜</t>
        </is>
      </c>
      <c r="C24" s="16" t="n"/>
      <c r="D24" s="16" t="n">
        <v>0.154</v>
      </c>
      <c r="E24" s="16" t="n">
        <v>0.485</v>
      </c>
      <c r="F24" s="16" t="n">
        <v>0.39</v>
      </c>
      <c r="G24" s="16" t="n">
        <v>0.592</v>
      </c>
      <c r="H24" s="16" t="n">
        <v>0.136</v>
      </c>
      <c r="I24" s="16" t="n">
        <v>3.52</v>
      </c>
      <c r="J24" s="16" t="n">
        <v>3.51</v>
      </c>
      <c r="K24" s="16" t="n">
        <v>3.53</v>
      </c>
      <c r="L24" s="16" t="n">
        <v>3.71</v>
      </c>
      <c r="M24" s="16" t="n">
        <v>3.59</v>
      </c>
      <c r="N24" s="43">
        <f>SUMPRODUCT(1-D24:H24+D24:H24*I24:M24)/25</f>
        <v/>
      </c>
      <c r="O24" s="43">
        <f>AVERAGE(D24:H24)</f>
        <v/>
      </c>
      <c r="P24" s="43" t="n">
        <v>0.3818</v>
      </c>
      <c r="Q24" s="16">
        <f>IF(ABS(N24-P24)&lt;=0.0007,"일치","불일치")</f>
        <v/>
      </c>
      <c r="R24" s="16">
        <f>IF(ABS(O24-P24)&lt;=0.0007,"일치","불일치")</f>
        <v/>
      </c>
    </row>
    <row r="25">
      <c r="A25" s="16" t="inlineStr">
        <is>
          <t>2023</t>
        </is>
      </c>
      <c r="B25" s="16" t="inlineStr">
        <is>
          <t>일반</t>
        </is>
      </c>
      <c r="C25" s="16" t="n"/>
      <c r="D25" s="16" t="n">
        <v>0.158</v>
      </c>
      <c r="E25" s="16" t="n">
        <v>0.396</v>
      </c>
      <c r="F25" s="16" t="n">
        <v>0.311</v>
      </c>
      <c r="G25" s="16" t="n">
        <v>0.531</v>
      </c>
      <c r="H25" s="16" t="n">
        <v>0.109</v>
      </c>
      <c r="I25" s="16" t="n">
        <v>3.27</v>
      </c>
      <c r="J25" s="16" t="n">
        <v>3.5</v>
      </c>
      <c r="K25" s="16" t="n">
        <v>3.5</v>
      </c>
      <c r="L25" s="16" t="n">
        <v>3.6</v>
      </c>
      <c r="M25" s="16" t="n">
        <v>3.55</v>
      </c>
      <c r="N25" s="43">
        <f>SUMPRODUCT(1-D25:H25+D25:H25*I25:M25)/25</f>
        <v/>
      </c>
      <c r="O25" s="43">
        <f>AVERAGE(D25:H25)</f>
        <v/>
      </c>
      <c r="P25" s="43" t="n">
        <v>0.3515</v>
      </c>
      <c r="Q25" s="16">
        <f>IF(ABS(N25-P25)&lt;=0.0007,"일치","불일치")</f>
        <v/>
      </c>
      <c r="R25" s="16">
        <f>IF(ABS(O25-P25)&lt;=0.0007,"일치","불일치")</f>
        <v/>
      </c>
    </row>
    <row r="26">
      <c r="A26" s="16" t="inlineStr">
        <is>
          <t>2024</t>
        </is>
      </c>
      <c r="B26" s="16" t="inlineStr">
        <is>
          <t>수혜</t>
        </is>
      </c>
      <c r="C26" s="16" t="n"/>
      <c r="D26" s="16" t="n">
        <v>0.173</v>
      </c>
      <c r="E26" s="16" t="n">
        <v>0.589</v>
      </c>
      <c r="F26" s="16" t="n">
        <v>0.456</v>
      </c>
      <c r="G26" s="16" t="n">
        <v>0.698</v>
      </c>
      <c r="H26" s="16" t="n">
        <v>0.145</v>
      </c>
      <c r="I26" s="16" t="n">
        <v>3.38</v>
      </c>
      <c r="J26" s="16" t="n">
        <v>3.57</v>
      </c>
      <c r="K26" s="16" t="n">
        <v>3.68</v>
      </c>
      <c r="L26" s="16" t="n">
        <v>3.72</v>
      </c>
      <c r="M26" s="16" t="n">
        <v>3.89</v>
      </c>
      <c r="N26" s="43">
        <f>SUMPRODUCT(1-D26:H26+D26:H26*I26:M26)/25</f>
        <v/>
      </c>
      <c r="O26" s="43">
        <f>AVERAGE(D26:H26)</f>
        <v/>
      </c>
      <c r="P26" s="43" t="n">
        <v>0.3813</v>
      </c>
      <c r="Q26" s="16">
        <f>IF(ABS(N26-P26)&lt;=0.0007,"일치","불일치")</f>
        <v/>
      </c>
      <c r="R26" s="16">
        <f>IF(ABS(O26-P26)&lt;=0.0007,"일치","불일치")</f>
        <v/>
      </c>
    </row>
    <row r="27">
      <c r="A27" s="16" t="inlineStr">
        <is>
          <t>2024</t>
        </is>
      </c>
      <c r="B27" s="16" t="inlineStr">
        <is>
          <t>일반</t>
        </is>
      </c>
      <c r="C27" s="16" t="n"/>
      <c r="D27" s="16" t="n">
        <v>0.147</v>
      </c>
      <c r="E27" s="16" t="n">
        <v>0.47</v>
      </c>
      <c r="F27" s="16" t="n">
        <v>0.329</v>
      </c>
      <c r="G27" s="16" t="n">
        <v>0.588</v>
      </c>
      <c r="H27" s="16" t="n">
        <v>0.102</v>
      </c>
      <c r="I27" s="16" t="n">
        <v>3.22</v>
      </c>
      <c r="J27" s="16" t="n">
        <v>3.39</v>
      </c>
      <c r="K27" s="16" t="n">
        <v>3.43</v>
      </c>
      <c r="L27" s="16" t="n">
        <v>3.65</v>
      </c>
      <c r="M27" s="16" t="n">
        <v>3.65</v>
      </c>
      <c r="N27" s="43">
        <f>SUMPRODUCT(1-D27:H27+D27:H27*I27:M27)/25</f>
        <v/>
      </c>
      <c r="O27" s="43">
        <f>AVERAGE(D27:H27)</f>
        <v/>
      </c>
      <c r="P27" s="43" t="n">
        <v>0.3011</v>
      </c>
      <c r="Q27" s="16">
        <f>IF(ABS(N27-P27)&lt;=0.0007,"일치","불일치")</f>
        <v/>
      </c>
      <c r="R27" s="16">
        <f>IF(ABS(O27-P27)&lt;=0.0007,"일치","불일치")</f>
        <v/>
      </c>
    </row>
    <row r="28">
      <c r="A28" s="16" t="inlineStr">
        <is>
          <t>2025</t>
        </is>
      </c>
      <c r="B28" s="16" t="inlineStr">
        <is>
          <t>수혜</t>
        </is>
      </c>
      <c r="C28" s="16" t="n"/>
      <c r="D28" s="16" t="n">
        <v>0.148</v>
      </c>
      <c r="E28" s="16" t="n">
        <v>0.506</v>
      </c>
      <c r="F28" s="16" t="n">
        <v>0.428</v>
      </c>
      <c r="G28" s="16" t="n">
        <v>0.643</v>
      </c>
      <c r="H28" s="16" t="n">
        <v>0.126</v>
      </c>
      <c r="I28" s="16" t="n">
        <v>3.29</v>
      </c>
      <c r="J28" s="16" t="n">
        <v>3.49</v>
      </c>
      <c r="K28" s="16" t="n">
        <v>3.69</v>
      </c>
      <c r="L28" s="16" t="n">
        <v>3.74</v>
      </c>
      <c r="M28" s="16" t="n">
        <v>3.57</v>
      </c>
      <c r="N28" s="43">
        <f>SUMPRODUCT(1-D28:H28+D28:H28*I28:M28)/25</f>
        <v/>
      </c>
      <c r="O28" s="43">
        <f>AVERAGE(D28:H28)</f>
        <v/>
      </c>
      <c r="P28" s="43" t="n">
        <v>0.3836</v>
      </c>
      <c r="Q28" s="16">
        <f>IF(ABS(N28-P28)&lt;=0.0007,"일치","불일치")</f>
        <v/>
      </c>
      <c r="R28" s="16">
        <f>IF(ABS(O28-P28)&lt;=0.0007,"일치","불일치")</f>
        <v/>
      </c>
    </row>
    <row r="29">
      <c r="A29" s="16" t="inlineStr">
        <is>
          <t>2025</t>
        </is>
      </c>
      <c r="B29" s="16" t="inlineStr">
        <is>
          <t>일반</t>
        </is>
      </c>
      <c r="C29" s="16" t="n"/>
      <c r="D29" s="16" t="n">
        <v>0.08799999999999999</v>
      </c>
      <c r="E29" s="16" t="n">
        <v>0.371</v>
      </c>
      <c r="F29" s="16" t="n">
        <v>0.294</v>
      </c>
      <c r="G29" s="16" t="n">
        <v>0.5679999999999999</v>
      </c>
      <c r="H29" s="16" t="n">
        <v>0.102</v>
      </c>
      <c r="I29" s="16" t="n">
        <v>3.13</v>
      </c>
      <c r="J29" s="16" t="n">
        <v>3.43</v>
      </c>
      <c r="K29" s="16" t="n">
        <v>3.57</v>
      </c>
      <c r="L29" s="16" t="n">
        <v>3.61</v>
      </c>
      <c r="M29" s="16" t="n">
        <v>3.65</v>
      </c>
      <c r="N29" s="43">
        <f>SUMPRODUCT(1-D29:H29+D29:H29*I29:M29)/25</f>
        <v/>
      </c>
      <c r="O29" s="43">
        <f>AVERAGE(D29:H29)</f>
        <v/>
      </c>
      <c r="P29" s="43" t="n">
        <v>0.2845</v>
      </c>
      <c r="Q29" s="16">
        <f>IF(ABS(N29-P29)&lt;=0.0007,"일치","불일치")</f>
        <v/>
      </c>
      <c r="R29" s="16">
        <f>IF(ABS(O29-P29)&lt;=0.0007,"일치","불일치")</f>
        <v/>
      </c>
    </row>
    <row r="30">
      <c r="A30" s="7" t="inlineStr">
        <is>
          <t>→ 2023은 (미시행=1, 시행=활성화)/5 식이 수혜·일반 모두 재현. 2025 일반은 시행률 평균과 일치. 2024 두 집단과 2025 수혜는 어떤 단순식으로도 재현 안 됨(원자료·결측처리 미공개).</t>
        </is>
      </c>
    </row>
    <row r="32">
      <c r="A32" s="42" t="inlineStr">
        <is>
          <t>문18 노사갈등(12점) — 1−평균발생률</t>
        </is>
      </c>
    </row>
    <row r="33">
      <c r="A33" s="11" t="inlineStr">
        <is>
          <t>연도</t>
        </is>
      </c>
      <c r="B33" s="11" t="inlineStr">
        <is>
          <t>집단</t>
        </is>
      </c>
      <c r="C33" s="11" t="inlineStr"/>
      <c r="D33" s="11" t="inlineStr">
        <is>
          <t>파업%</t>
        </is>
      </c>
      <c r="E33" s="11" t="inlineStr">
        <is>
          <t>손실%</t>
        </is>
      </c>
      <c r="F33" s="11" t="inlineStr">
        <is>
          <t>고소%</t>
        </is>
      </c>
      <c r="G33" s="11" t="inlineStr">
        <is>
          <t>해고%</t>
        </is>
      </c>
      <c r="H33" s="11" t="inlineStr"/>
      <c r="I33" s="11" t="inlineStr"/>
      <c r="J33" s="11" t="inlineStr"/>
      <c r="K33" s="11" t="inlineStr"/>
      <c r="L33" s="11" t="inlineStr"/>
      <c r="M33" s="11" t="inlineStr"/>
      <c r="N33" s="11" t="inlineStr">
        <is>
          <t>1−평균발생률</t>
        </is>
      </c>
      <c r="O33" s="11" t="inlineStr"/>
      <c r="P33" s="11" t="inlineStr">
        <is>
          <t>공식값</t>
        </is>
      </c>
      <c r="Q33" s="11" t="inlineStr">
        <is>
          <t>차이</t>
        </is>
      </c>
      <c r="R33" s="11" t="inlineStr">
        <is>
          <t>판정</t>
        </is>
      </c>
    </row>
    <row r="34">
      <c r="A34" s="16" t="inlineStr">
        <is>
          <t>2023</t>
        </is>
      </c>
      <c r="B34" s="16" t="inlineStr">
        <is>
          <t>수혜</t>
        </is>
      </c>
      <c r="C34" s="16" t="n"/>
      <c r="D34" s="16" t="n">
        <v>2</v>
      </c>
      <c r="E34" s="16" t="n">
        <v>3.3</v>
      </c>
      <c r="F34" s="16" t="n">
        <v>4</v>
      </c>
      <c r="G34" s="16" t="n">
        <v>1.5</v>
      </c>
      <c r="H34" s="16" t="n"/>
      <c r="I34" s="16" t="n"/>
      <c r="J34" s="16" t="n"/>
      <c r="K34" s="16" t="n"/>
      <c r="L34" s="16" t="n"/>
      <c r="M34" s="16" t="n"/>
      <c r="N34" s="43">
        <f>1-AVERAGE(D34:G34)/100</f>
        <v/>
      </c>
      <c r="O34" s="16" t="n"/>
      <c r="P34" s="43" t="n">
        <v>0.9786</v>
      </c>
      <c r="Q34" s="43">
        <f>P34-N34</f>
        <v/>
      </c>
      <c r="R34" s="16">
        <f>IF(ABS(Q34)&lt;=0.01,"근접(±0.01)","이상치")</f>
        <v/>
      </c>
    </row>
    <row r="35">
      <c r="A35" s="16" t="inlineStr">
        <is>
          <t>2023</t>
        </is>
      </c>
      <c r="B35" s="16" t="inlineStr">
        <is>
          <t>일반</t>
        </is>
      </c>
      <c r="C35" s="16" t="n"/>
      <c r="D35" s="16" t="n">
        <v>2.3</v>
      </c>
      <c r="E35" s="16" t="n">
        <v>2.9</v>
      </c>
      <c r="F35" s="16" t="n">
        <v>4.7</v>
      </c>
      <c r="G35" s="16" t="n">
        <v>1.6</v>
      </c>
      <c r="H35" s="16" t="n"/>
      <c r="I35" s="16" t="n"/>
      <c r="J35" s="16" t="n"/>
      <c r="K35" s="16" t="n"/>
      <c r="L35" s="16" t="n"/>
      <c r="M35" s="16" t="n"/>
      <c r="N35" s="43">
        <f>1-AVERAGE(D35:G35)/100</f>
        <v/>
      </c>
      <c r="O35" s="16" t="n"/>
      <c r="P35" s="43" t="n">
        <v>0.977</v>
      </c>
      <c r="Q35" s="43">
        <f>P35-N35</f>
        <v/>
      </c>
      <c r="R35" s="16">
        <f>IF(ABS(Q35)&lt;=0.01,"근접(±0.01)","이상치")</f>
        <v/>
      </c>
    </row>
    <row r="36">
      <c r="A36" s="16" t="inlineStr">
        <is>
          <t>2024</t>
        </is>
      </c>
      <c r="B36" s="16" t="inlineStr">
        <is>
          <t>수혜</t>
        </is>
      </c>
      <c r="C36" s="16" t="n"/>
      <c r="D36" s="16" t="n">
        <v>1.3</v>
      </c>
      <c r="E36" s="16" t="n">
        <v>1.6</v>
      </c>
      <c r="F36" s="16" t="n">
        <v>3.3</v>
      </c>
      <c r="G36" s="16" t="n">
        <v>2.2</v>
      </c>
      <c r="H36" s="16" t="n"/>
      <c r="I36" s="16" t="n"/>
      <c r="J36" s="16" t="n"/>
      <c r="K36" s="16" t="n"/>
      <c r="L36" s="16" t="n"/>
      <c r="M36" s="16" t="n"/>
      <c r="N36" s="43">
        <f>1-AVERAGE(D36:G36)/100</f>
        <v/>
      </c>
      <c r="O36" s="16" t="n"/>
      <c r="P36" s="43" t="n">
        <v>0.6619</v>
      </c>
      <c r="Q36" s="43">
        <f>P36-N36</f>
        <v/>
      </c>
      <c r="R36" s="16">
        <f>IF(ABS(Q36)&lt;=0.01,"근접(±0.01)","이상치")</f>
        <v/>
      </c>
    </row>
    <row r="37">
      <c r="A37" s="16" t="inlineStr">
        <is>
          <t>2024</t>
        </is>
      </c>
      <c r="B37" s="16" t="inlineStr">
        <is>
          <t>일반</t>
        </is>
      </c>
      <c r="C37" s="16" t="n"/>
      <c r="D37" s="16" t="n">
        <v>2.3</v>
      </c>
      <c r="E37" s="16" t="n">
        <v>3.2</v>
      </c>
      <c r="F37" s="16" t="n">
        <v>3.2</v>
      </c>
      <c r="G37" s="16" t="n">
        <v>1.5</v>
      </c>
      <c r="H37" s="16" t="n"/>
      <c r="I37" s="16" t="n"/>
      <c r="J37" s="16" t="n"/>
      <c r="K37" s="16" t="n"/>
      <c r="L37" s="16" t="n"/>
      <c r="M37" s="16" t="n"/>
      <c r="N37" s="43">
        <f>1-AVERAGE(D37:G37)/100</f>
        <v/>
      </c>
      <c r="O37" s="16" t="n"/>
      <c r="P37" s="43" t="n">
        <v>0.5087</v>
      </c>
      <c r="Q37" s="43">
        <f>P37-N37</f>
        <v/>
      </c>
      <c r="R37" s="16">
        <f>IF(ABS(Q37)&lt;=0.01,"근접(±0.01)","이상치")</f>
        <v/>
      </c>
    </row>
    <row r="38">
      <c r="A38" s="16" t="inlineStr">
        <is>
          <t>2025</t>
        </is>
      </c>
      <c r="B38" s="16" t="inlineStr">
        <is>
          <t>수혜</t>
        </is>
      </c>
      <c r="C38" s="16" t="n"/>
      <c r="D38" s="16" t="n">
        <v>0.2</v>
      </c>
      <c r="E38" s="16" t="n">
        <v>2</v>
      </c>
      <c r="F38" s="16" t="n">
        <v>3.1</v>
      </c>
      <c r="G38" s="16" t="n">
        <v>0.9</v>
      </c>
      <c r="H38" s="16" t="n"/>
      <c r="I38" s="16" t="n"/>
      <c r="J38" s="16" t="n"/>
      <c r="K38" s="16" t="n"/>
      <c r="L38" s="16" t="n"/>
      <c r="M38" s="16" t="n"/>
      <c r="N38" s="43">
        <f>1-AVERAGE(D38:G38)/100</f>
        <v/>
      </c>
      <c r="O38" s="16" t="n"/>
      <c r="P38" s="43" t="n">
        <v>0.979</v>
      </c>
      <c r="Q38" s="43">
        <f>P38-N38</f>
        <v/>
      </c>
      <c r="R38" s="16">
        <f>IF(ABS(Q38)&lt;=0.01,"근접(±0.01)","이상치")</f>
        <v/>
      </c>
    </row>
    <row r="39">
      <c r="A39" s="16" t="inlineStr">
        <is>
          <t>2025</t>
        </is>
      </c>
      <c r="B39" s="16" t="inlineStr">
        <is>
          <t>일반</t>
        </is>
      </c>
      <c r="C39" s="16" t="n"/>
      <c r="D39" s="16" t="n">
        <v>0.9</v>
      </c>
      <c r="E39" s="16" t="n">
        <v>1.9</v>
      </c>
      <c r="F39" s="16" t="n">
        <v>1.9</v>
      </c>
      <c r="G39" s="16" t="n">
        <v>1.1</v>
      </c>
      <c r="H39" s="16" t="n"/>
      <c r="I39" s="16" t="n"/>
      <c r="J39" s="16" t="n"/>
      <c r="K39" s="16" t="n"/>
      <c r="L39" s="16" t="n"/>
      <c r="M39" s="16" t="n"/>
      <c r="N39" s="43">
        <f>1-AVERAGE(D39:G39)/100</f>
        <v/>
      </c>
      <c r="O39" s="16" t="n"/>
      <c r="P39" s="43" t="n">
        <v>0.9808</v>
      </c>
      <c r="Q39" s="43">
        <f>P39-N39</f>
        <v/>
      </c>
      <c r="R39" s="16">
        <f>IF(ABS(Q39)&lt;=0.01,"근접(±0.01)","이상치")</f>
        <v/>
      </c>
    </row>
    <row r="40">
      <c r="A40" s="7" t="inlineStr">
        <is>
          <t>→ 2023 산정방식(p.242): 미발생 0·발생 −1로 재코딩 후 0~1 변환. 2023·2025는 ±0.006 근접(결측 분모 차이 추정), 2024 공표값만 크게 벗어남 → 2024(보정) 벤치마크 제공.</t>
        </is>
      </c>
    </row>
  </sheetData>
  <conditionalFormatting sqref="Q5:R18">
    <cfRule type="cellIs" priority="1" operator="equal" dxfId="3">
      <formula>"일치"</formula>
    </cfRule>
    <cfRule type="cellIs" priority="2" operator="equal" dxfId="2">
      <formula>"불일치"</formula>
    </cfRule>
  </conditionalFormatting>
  <conditionalFormatting sqref="Q24:R29">
    <cfRule type="cellIs" priority="3" operator="equal" dxfId="3">
      <formula>"일치"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노사관계 진단 평가모형 설계서</t>
        </is>
      </c>
    </row>
    <row r="2">
      <c r="B2" s="3" t="inlineStr"/>
    </row>
    <row r="3">
      <c r="B3" s="4" t="inlineStr">
        <is>
          <t>1. 목적과 원칙</t>
        </is>
      </c>
    </row>
    <row r="4">
      <c r="B4" s="3" t="inlineStr">
        <is>
          <t>· 노사발전재단 일터혁신지수 ‘노사관계’ 영역(100점)과 같은 문항·배점·변환식으로 채점해, 공식 벤치마크와 같은 잣대로 비교한다.</t>
        </is>
      </c>
    </row>
    <row r="5">
      <c r="B5" s="3" t="inlineStr">
        <is>
          <t>· 공개 자료로 재현이 확인된 규칙(A)만 그대로 쓰고, 재현되지 않은 부분(B·C)은 근거를 밝히고 가장 근접한 대안을 쓴다.</t>
        </is>
      </c>
    </row>
    <row r="6">
      <c r="B6" s="3" t="inlineStr">
        <is>
          <t>· 사업주·담당자 응답(재단 조사와 같은 응답주체)만 벤치마크와 비교하고, 근로자 응답은 따로 집계해 인식 차이를 본다.</t>
        </is>
      </c>
    </row>
    <row r="7">
      <c r="B7" s="3" t="inlineStr"/>
    </row>
    <row r="8">
      <c r="B8" s="4" t="inlineStr">
        <is>
          <t>2. 구조(36문항 → 7개 소분류 → 5개 중분류 → 100점)</t>
        </is>
      </c>
    </row>
    <row r="9">
      <c r="B9" s="3" t="inlineStr">
        <is>
          <t>· 노사관계분위기 20 = 전반 인식(문16, 4문항) 10 + 노조·근로자대표 혁신 태도(문24, 5문항) 10</t>
        </is>
      </c>
    </row>
    <row r="10">
      <c r="B10" s="3" t="inlineStr">
        <is>
          <t>· 노사협력 및 갈등 25 = 협력 프로그램(문17, 5종) 13 + 노사갈등(문18, 4종) 12</t>
        </is>
      </c>
    </row>
    <row r="11">
      <c r="B11" s="3" t="inlineStr">
        <is>
          <t>· 정보공유와 의사소통 25 = 의사소통(문21, 5문항) + 경영정보 공유(문22, 4문항)</t>
        </is>
      </c>
    </row>
    <row r="12">
      <c r="B12" s="3" t="inlineStr">
        <is>
          <t>· 고충처리 15 = 문19(4문항) · 노사협의회 15 = 문23(5문항)</t>
        </is>
      </c>
    </row>
    <row r="13">
      <c r="B13" s="3" t="inlineStr">
        <is>
          <t>· 문항별 가중치(역산): 블록 안 동일가중 → 문16 2.50, 문24 2.00, 문17 2.60, 문18 3.00, 문21·22 2.78, 문19 3.75, 문23 3.00점/문항</t>
        </is>
      </c>
    </row>
    <row r="14">
      <c r="B14" s="3" t="inlineStr"/>
    </row>
    <row r="15">
      <c r="B15" s="4" t="inlineStr">
        <is>
          <t>3. 점수 변환식(역산 결과)</t>
        </is>
      </c>
    </row>
    <row r="16">
      <c r="B16" s="3" t="inlineStr">
        <is>
          <t>· 5점척도 — 2023·2024: 평균÷5 (1점=0.2, 5점=1.0) / 2025: (평균−1)÷4 (1점=0, 5점=1). 14개 블록 모두 반올림 오차 안에서 일치 [신뢰도 A]</t>
        </is>
      </c>
    </row>
    <row r="17">
      <c r="B17" s="44" t="inlineStr">
        <is>
          <t xml:space="preserve">  쉽게 말하면: 2024년까지는 ‘전혀 그렇지 않다’도 기본점수 20%를 줬지만, 2025년부터는 0점에서 시작합니다. 그래서 2025년 점수가 낮아 보입니다.</t>
        </is>
      </c>
    </row>
    <row r="18">
      <c r="B18" s="3" t="inlineStr">
        <is>
          <t>· 문17 협력 프로그램 — 2023·24식: 프로그램별 (미시행=1, 시행=활성화 1~5)÷5의 평균(2023 재현) / 2025식: 시행률(시행=1, 미시행=0)의 평균(2025 일반 재현) [신뢰도 B~C]</t>
        </is>
      </c>
    </row>
    <row r="19">
      <c r="B19" s="3" t="inlineStr">
        <is>
          <t>· 문18 노사갈등 — 미발생=1, 발생=0의 평균(=1−발생 항목 비율). 2023·2025 공표값과 ±0.006 [신뢰도 B]. 2024 공표값(0.66/0.51)은 이상치라 ‘2024(보정)’을 따로 둠</t>
        </is>
      </c>
    </row>
    <row r="20">
      <c r="B20" s="3" t="inlineStr">
        <is>
          <t>· 소분류 점수 = Σ(문항 배점×변환값)÷Σ(응답한 문항 배점)×소분류 배점 — 일부 문항 미응답 시 응답한 문항으로 비례 환산</t>
        </is>
      </c>
    </row>
    <row r="21">
      <c r="B21" s="3" t="inlineStr">
        <is>
          <t>· 종합 = Σ소분류 점수 ÷ Σ(산출된 소분류 배점) × 100</t>
        </is>
      </c>
    </row>
    <row r="22">
      <c r="B22" s="3" t="inlineStr">
        <is>
          <t>· 노사협의회 미설치: 50인 미만·무노조면 해당 소분류 제외 후 100점 환산, 그 외는 0점(30인 이상 설치 의무 반영)</t>
        </is>
      </c>
    </row>
    <row r="23">
      <c r="B23" s="3" t="inlineStr"/>
    </row>
    <row r="24">
      <c r="B24" s="4" t="inlineStr">
        <is>
          <t>4. 비교·등급</t>
        </is>
      </c>
    </row>
    <row r="25">
      <c r="B25" s="3" t="inlineStr">
        <is>
          <t>· 비교연도 2025 → 2025식, 2023·2024 → 2023·24식으로 자동 계산(같은 잣대 비교). 비교집단은 컨설팅 수혜/일반.</t>
        </is>
      </c>
    </row>
    <row r="26">
      <c r="B26" s="3" t="inlineStr">
        <is>
          <t>· 벤치마크(배점 반영) = Σ(공식 소분류 표준화값 × 적용 배점). 기본 배점이면 공식 공표 총점과 같다.</t>
        </is>
      </c>
    </row>
    <row r="27">
      <c r="B27" s="3" t="inlineStr">
        <is>
          <t>· 등급(도구 자체 기준): 벤치마크 대비 +10점 이상 S, +3~+10 A, −3~+3 B, −10~−3 C, −10 미만 D</t>
        </is>
      </c>
    </row>
    <row r="28">
      <c r="B28" s="3" t="inlineStr">
        <is>
          <t xml:space="preserve">  근거: 2023~2025 규모·업종별 공표 총점의 집단 간 차이가 대체로 ±3~10점 범위여서, ±3점은 ‘평균 수준’, ±10점은 ‘뚜렷한 차이’로 둠.</t>
        </is>
      </c>
    </row>
    <row r="29">
      <c r="B29" s="3" t="inlineStr">
        <is>
          <t>· 우선 개선과제 = 잃은 점수(배점−우리 점수)가 큰 소분류 순. 문항별 판정은 공표 평균 대비 ±0.3점(시행률 ±15%p).</t>
        </is>
      </c>
    </row>
    <row r="30">
      <c r="B30" s="3" t="inlineStr"/>
    </row>
    <row r="31">
      <c r="B31" s="4" t="inlineStr">
        <is>
          <t>5. 3개년 분석에서 확인된 사실</t>
        </is>
      </c>
    </row>
    <row r="32">
      <c r="B32" s="3" t="inlineStr">
        <is>
          <t>· 문항·척도·배점은 2023~2025 동일(36문항). 문17·18의 조사기간만 매년 1년씩 이동.</t>
        </is>
      </c>
    </row>
    <row r="33">
      <c r="B33" s="3" t="inlineStr">
        <is>
          <t>· 2024→2025 노사관계 점수 하락(수혜 66.08→65.16, 일반 61.36→60.10)은 상당 부분 변환식 변경 효과. 예) 문16 수혜 평균은 3.73→3.71로 거의 같지만 표준화값은 0.7455→0.6779로 떨어짐.</t>
        </is>
      </c>
    </row>
    <row r="34">
      <c r="B34" s="3" t="inlineStr">
        <is>
          <t>· 2024 갈등 표준화값(0.66/0.51)은 발생률 2%대와 맞지 않아, 보정 시 2024 노사관계 총점은 수혜 약 69.9, 일반 약 67.0으로 2023(70.79/67.01)과 비슷해짐.</t>
        </is>
      </c>
    </row>
    <row r="35">
      <c r="B35" s="3" t="inlineStr">
        <is>
          <t>· 2025 수혜 세부표(Ⅵ-9)는 5개 세부값이 2024값과 동일하게 기재되는 등 정합성 이슈가 있어 세부 비교는 참고용.</t>
        </is>
      </c>
    </row>
    <row r="36">
      <c r="B36" s="3" t="inlineStr">
        <is>
          <t>· 규모가 클수록, 노조가 있을수록, 공공행정서비스일수록 노사관계 점수가 대체로 높다(2023·2024 일관, 2025 수혜는 예외 존재).</t>
        </is>
      </c>
    </row>
    <row r="37">
      <c r="B37" s="3" t="inlineStr"/>
    </row>
    <row r="38">
      <c r="B38" s="4" t="inlineStr">
        <is>
          <t>6. 한계와 업데이트</t>
        </is>
      </c>
    </row>
    <row r="39">
      <c r="B39" s="3" t="inlineStr">
        <is>
          <t>· 재단은 원자료·코드북·산출 프로그램을 공개하지 않아 문17(2024·2025)과 결측 처리 규칙은 정확히 복제할 수 없다. 공식 점수와 소수점 단위 차이가 날 수 있다.</t>
        </is>
      </c>
    </row>
    <row r="40">
      <c r="B40" s="3" t="inlineStr">
        <is>
          <t>· 표준편차가 공개되지 않아 백분위·Z점수는 산출하지 않는다(등급은 점수 차이 기준).</t>
        </is>
      </c>
    </row>
    <row r="41">
      <c r="B41" s="3" t="inlineStr">
        <is>
          <t>· 2026 「일터혁신 상생컨설팅 진단·평가 지표 개선방안 연구」 결과가 공개되면 문항·배점을 다시 검토해 [가중치]·[벤치마크] 시트만 갱신하면 된다.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145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3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</cols>
  <sheetData>
    <row r="1">
      <c r="A1" s="6" t="inlineStr">
        <is>
          <t>응답자별 계산 시트 — 수정하지 마세요</t>
        </is>
      </c>
    </row>
    <row r="2">
      <c r="A2" s="45" t="inlineStr">
        <is>
          <t>노사협의회 제외</t>
        </is>
      </c>
      <c r="C2" s="16">
        <f>AND(설문!$C$8="미설치",설문!$C$6="50인 미만",설문!$C$7="없음")</f>
        <v/>
      </c>
      <c r="D2" s="16" t="inlineStr">
        <is>
          <t>노사협의회 0점 처리</t>
        </is>
      </c>
      <c r="E2" s="16">
        <f>AND(설문!$C$8="미설치",NOT($C$2))</f>
        <v/>
      </c>
    </row>
    <row r="3">
      <c r="A3" s="11" t="inlineStr">
        <is>
          <t>ID</t>
        </is>
      </c>
      <c r="B3" s="11" t="inlineStr">
        <is>
          <t>구분</t>
        </is>
      </c>
      <c r="C3" s="11" t="inlineStr">
        <is>
          <t>배점</t>
        </is>
      </c>
      <c r="D3" s="11" t="inlineStr">
        <is>
          <t>설명</t>
        </is>
      </c>
      <c r="E3" s="11">
        <f>설문!E12</f>
        <v/>
      </c>
      <c r="F3" s="11">
        <f>설문!F12</f>
        <v/>
      </c>
      <c r="G3" s="11">
        <f>설문!G12</f>
        <v/>
      </c>
      <c r="H3" s="11">
        <f>설문!H12</f>
        <v/>
      </c>
      <c r="I3" s="11">
        <f>설문!I12</f>
        <v/>
      </c>
      <c r="J3" s="11">
        <f>설문!J12</f>
        <v/>
      </c>
      <c r="K3" s="11">
        <f>설문!K12</f>
        <v/>
      </c>
      <c r="L3" s="11">
        <f>설문!L12</f>
        <v/>
      </c>
      <c r="M3" s="11">
        <f>설문!M12</f>
        <v/>
      </c>
      <c r="N3" s="11">
        <f>설문!N12</f>
        <v/>
      </c>
      <c r="O3" s="11">
        <f>설문!O12</f>
        <v/>
      </c>
      <c r="P3" s="11">
        <f>설문!P12</f>
        <v/>
      </c>
      <c r="Q3" s="11">
        <f>설문!Q12</f>
        <v/>
      </c>
      <c r="R3" s="11">
        <f>설문!R12</f>
        <v/>
      </c>
      <c r="S3" s="11">
        <f>설문!S12</f>
        <v/>
      </c>
      <c r="T3" s="11">
        <f>설문!T12</f>
        <v/>
      </c>
      <c r="U3" s="11">
        <f>설문!U12</f>
        <v/>
      </c>
      <c r="V3" s="11">
        <f>설문!V12</f>
        <v/>
      </c>
      <c r="W3" s="11">
        <f>설문!W12</f>
        <v/>
      </c>
      <c r="X3" s="11">
        <f>설문!X12</f>
        <v/>
      </c>
      <c r="Y3" s="11">
        <f>설문!Y12</f>
        <v/>
      </c>
      <c r="Z3" s="11">
        <f>설문!Z12</f>
        <v/>
      </c>
      <c r="AA3" s="11">
        <f>설문!AA12</f>
        <v/>
      </c>
      <c r="AB3" s="11">
        <f>설문!AB12</f>
        <v/>
      </c>
      <c r="AC3" s="11">
        <f>설문!AC12</f>
        <v/>
      </c>
      <c r="AD3" s="11">
        <f>설문!AD12</f>
        <v/>
      </c>
      <c r="AE3" s="11">
        <f>설문!AE12</f>
        <v/>
      </c>
      <c r="AF3" s="11">
        <f>설문!AF12</f>
        <v/>
      </c>
      <c r="AG3" s="11">
        <f>설문!AG12</f>
        <v/>
      </c>
      <c r="AH3" s="11">
        <f>설문!AH12</f>
        <v/>
      </c>
      <c r="AI3" s="11">
        <f>설문!AI12</f>
        <v/>
      </c>
      <c r="AJ3" s="11">
        <f>설문!AJ12</f>
        <v/>
      </c>
      <c r="AK3" s="11">
        <f>설문!AK12</f>
        <v/>
      </c>
      <c r="AL3" s="11">
        <f>설문!AL12</f>
        <v/>
      </c>
      <c r="AM3" s="11">
        <f>설문!AM12</f>
        <v/>
      </c>
      <c r="AN3" s="11">
        <f>설문!AN12</f>
        <v/>
      </c>
      <c r="AO3" s="11">
        <f>설문!AO12</f>
        <v/>
      </c>
      <c r="AP3" s="11">
        <f>설문!AP12</f>
        <v/>
      </c>
      <c r="AQ3" s="11">
        <f>설문!AQ12</f>
        <v/>
      </c>
      <c r="AR3" s="11">
        <f>설문!AR12</f>
        <v/>
      </c>
      <c r="AS3" s="11">
        <f>설문!AS12</f>
        <v/>
      </c>
      <c r="AT3" s="11">
        <f>설문!AT12</f>
        <v/>
      </c>
      <c r="AU3" s="11">
        <f>설문!AU12</f>
        <v/>
      </c>
      <c r="AV3" s="11">
        <f>설문!AV12</f>
        <v/>
      </c>
      <c r="AW3" s="11">
        <f>설문!AW12</f>
        <v/>
      </c>
      <c r="AX3" s="11">
        <f>설문!AX12</f>
        <v/>
      </c>
      <c r="AY3" s="11">
        <f>설문!AY12</f>
        <v/>
      </c>
      <c r="AZ3" s="11">
        <f>설문!AZ12</f>
        <v/>
      </c>
      <c r="BA3" s="11">
        <f>설문!BA12</f>
        <v/>
      </c>
      <c r="BB3" s="11">
        <f>설문!BB12</f>
        <v/>
      </c>
    </row>
    <row r="4">
      <c r="A4" s="16" t="inlineStr">
        <is>
          <t>TYPE</t>
        </is>
      </c>
      <c r="B4" s="16" t="inlineStr">
        <is>
          <t>응답자 유형</t>
        </is>
      </c>
      <c r="E4">
        <f>IF(설문!E13="","",설문!E13)</f>
        <v/>
      </c>
      <c r="F4">
        <f>IF(설문!F13="","",설문!F13)</f>
        <v/>
      </c>
      <c r="G4">
        <f>IF(설문!G13="","",설문!G13)</f>
        <v/>
      </c>
      <c r="H4">
        <f>IF(설문!H13="","",설문!H13)</f>
        <v/>
      </c>
      <c r="I4">
        <f>IF(설문!I13="","",설문!I13)</f>
        <v/>
      </c>
      <c r="J4">
        <f>IF(설문!J13="","",설문!J13)</f>
        <v/>
      </c>
      <c r="K4">
        <f>IF(설문!K13="","",설문!K13)</f>
        <v/>
      </c>
      <c r="L4">
        <f>IF(설문!L13="","",설문!L13)</f>
        <v/>
      </c>
      <c r="M4">
        <f>IF(설문!M13="","",설문!M13)</f>
        <v/>
      </c>
      <c r="N4">
        <f>IF(설문!N13="","",설문!N13)</f>
        <v/>
      </c>
      <c r="O4">
        <f>IF(설문!O13="","",설문!O13)</f>
        <v/>
      </c>
      <c r="P4">
        <f>IF(설문!P13="","",설문!P13)</f>
        <v/>
      </c>
      <c r="Q4">
        <f>IF(설문!Q13="","",설문!Q13)</f>
        <v/>
      </c>
      <c r="R4">
        <f>IF(설문!R13="","",설문!R13)</f>
        <v/>
      </c>
      <c r="S4">
        <f>IF(설문!S13="","",설문!S13)</f>
        <v/>
      </c>
      <c r="T4">
        <f>IF(설문!T13="","",설문!T13)</f>
        <v/>
      </c>
      <c r="U4">
        <f>IF(설문!U13="","",설문!U13)</f>
        <v/>
      </c>
      <c r="V4">
        <f>IF(설문!V13="","",설문!V13)</f>
        <v/>
      </c>
      <c r="W4">
        <f>IF(설문!W13="","",설문!W13)</f>
        <v/>
      </c>
      <c r="X4">
        <f>IF(설문!X13="","",설문!X13)</f>
        <v/>
      </c>
      <c r="Y4">
        <f>IF(설문!Y13="","",설문!Y13)</f>
        <v/>
      </c>
      <c r="Z4">
        <f>IF(설문!Z13="","",설문!Z13)</f>
        <v/>
      </c>
      <c r="AA4">
        <f>IF(설문!AA13="","",설문!AA13)</f>
        <v/>
      </c>
      <c r="AB4">
        <f>IF(설문!AB13="","",설문!AB13)</f>
        <v/>
      </c>
      <c r="AC4">
        <f>IF(설문!AC13="","",설문!AC13)</f>
        <v/>
      </c>
      <c r="AD4">
        <f>IF(설문!AD13="","",설문!AD13)</f>
        <v/>
      </c>
      <c r="AE4">
        <f>IF(설문!AE13="","",설문!AE13)</f>
        <v/>
      </c>
      <c r="AF4">
        <f>IF(설문!AF13="","",설문!AF13)</f>
        <v/>
      </c>
      <c r="AG4">
        <f>IF(설문!AG13="","",설문!AG13)</f>
        <v/>
      </c>
      <c r="AH4">
        <f>IF(설문!AH13="","",설문!AH13)</f>
        <v/>
      </c>
      <c r="AI4">
        <f>IF(설문!AI13="","",설문!AI13)</f>
        <v/>
      </c>
      <c r="AJ4">
        <f>IF(설문!AJ13="","",설문!AJ13)</f>
        <v/>
      </c>
      <c r="AK4">
        <f>IF(설문!AK13="","",설문!AK13)</f>
        <v/>
      </c>
      <c r="AL4">
        <f>IF(설문!AL13="","",설문!AL13)</f>
        <v/>
      </c>
      <c r="AM4">
        <f>IF(설문!AM13="","",설문!AM13)</f>
        <v/>
      </c>
      <c r="AN4">
        <f>IF(설문!AN13="","",설문!AN13)</f>
        <v/>
      </c>
      <c r="AO4">
        <f>IF(설문!AO13="","",설문!AO13)</f>
        <v/>
      </c>
      <c r="AP4">
        <f>IF(설문!AP13="","",설문!AP13)</f>
        <v/>
      </c>
      <c r="AQ4">
        <f>IF(설문!AQ13="","",설문!AQ13)</f>
        <v/>
      </c>
      <c r="AR4">
        <f>IF(설문!AR13="","",설문!AR13)</f>
        <v/>
      </c>
      <c r="AS4">
        <f>IF(설문!AS13="","",설문!AS13)</f>
        <v/>
      </c>
      <c r="AT4">
        <f>IF(설문!AT13="","",설문!AT13)</f>
        <v/>
      </c>
      <c r="AU4">
        <f>IF(설문!AU13="","",설문!AU13)</f>
        <v/>
      </c>
      <c r="AV4">
        <f>IF(설문!AV13="","",설문!AV13)</f>
        <v/>
      </c>
      <c r="AW4">
        <f>IF(설문!AW13="","",설문!AW13)</f>
        <v/>
      </c>
      <c r="AX4">
        <f>IF(설문!AX13="","",설문!AX13)</f>
        <v/>
      </c>
      <c r="AY4">
        <f>IF(설문!AY13="","",설문!AY13)</f>
        <v/>
      </c>
      <c r="AZ4">
        <f>IF(설문!AZ13="","",설문!AZ13)</f>
        <v/>
      </c>
      <c r="BA4">
        <f>IF(설문!BA13="","",설문!BA13)</f>
        <v/>
      </c>
      <c r="BB4">
        <f>IF(설문!BB13="","",설문!BB13)</f>
        <v/>
      </c>
    </row>
    <row r="5">
      <c r="A5" s="16" t="inlineStr">
        <is>
          <t>VALID</t>
        </is>
      </c>
      <c r="B5" s="16" t="inlineStr">
        <is>
          <t>유효 응답(1=집계)</t>
        </is>
      </c>
      <c r="E5">
        <f>IF(AND(E4&lt;&gt;"",COUNT(E8:E49)&gt;0),1,0)</f>
        <v/>
      </c>
      <c r="F5">
        <f>IF(AND(F4&lt;&gt;"",COUNT(F8:F49)&gt;0),1,0)</f>
        <v/>
      </c>
      <c r="G5">
        <f>IF(AND(G4&lt;&gt;"",COUNT(G8:G49)&gt;0),1,0)</f>
        <v/>
      </c>
      <c r="H5">
        <f>IF(AND(H4&lt;&gt;"",COUNT(H8:H49)&gt;0),1,0)</f>
        <v/>
      </c>
      <c r="I5">
        <f>IF(AND(I4&lt;&gt;"",COUNT(I8:I49)&gt;0),1,0)</f>
        <v/>
      </c>
      <c r="J5">
        <f>IF(AND(J4&lt;&gt;"",COUNT(J8:J49)&gt;0),1,0)</f>
        <v/>
      </c>
      <c r="K5">
        <f>IF(AND(K4&lt;&gt;"",COUNT(K8:K49)&gt;0),1,0)</f>
        <v/>
      </c>
      <c r="L5">
        <f>IF(AND(L4&lt;&gt;"",COUNT(L8:L49)&gt;0),1,0)</f>
        <v/>
      </c>
      <c r="M5">
        <f>IF(AND(M4&lt;&gt;"",COUNT(M8:M49)&gt;0),1,0)</f>
        <v/>
      </c>
      <c r="N5">
        <f>IF(AND(N4&lt;&gt;"",COUNT(N8:N49)&gt;0),1,0)</f>
        <v/>
      </c>
      <c r="O5">
        <f>IF(AND(O4&lt;&gt;"",COUNT(O8:O49)&gt;0),1,0)</f>
        <v/>
      </c>
      <c r="P5">
        <f>IF(AND(P4&lt;&gt;"",COUNT(P8:P49)&gt;0),1,0)</f>
        <v/>
      </c>
      <c r="Q5">
        <f>IF(AND(Q4&lt;&gt;"",COUNT(Q8:Q49)&gt;0),1,0)</f>
        <v/>
      </c>
      <c r="R5">
        <f>IF(AND(R4&lt;&gt;"",COUNT(R8:R49)&gt;0),1,0)</f>
        <v/>
      </c>
      <c r="S5">
        <f>IF(AND(S4&lt;&gt;"",COUNT(S8:S49)&gt;0),1,0)</f>
        <v/>
      </c>
      <c r="T5">
        <f>IF(AND(T4&lt;&gt;"",COUNT(T8:T49)&gt;0),1,0)</f>
        <v/>
      </c>
      <c r="U5">
        <f>IF(AND(U4&lt;&gt;"",COUNT(U8:U49)&gt;0),1,0)</f>
        <v/>
      </c>
      <c r="V5">
        <f>IF(AND(V4&lt;&gt;"",COUNT(V8:V49)&gt;0),1,0)</f>
        <v/>
      </c>
      <c r="W5">
        <f>IF(AND(W4&lt;&gt;"",COUNT(W8:W49)&gt;0),1,0)</f>
        <v/>
      </c>
      <c r="X5">
        <f>IF(AND(X4&lt;&gt;"",COUNT(X8:X49)&gt;0),1,0)</f>
        <v/>
      </c>
      <c r="Y5">
        <f>IF(AND(Y4&lt;&gt;"",COUNT(Y8:Y49)&gt;0),1,0)</f>
        <v/>
      </c>
      <c r="Z5">
        <f>IF(AND(Z4&lt;&gt;"",COUNT(Z8:Z49)&gt;0),1,0)</f>
        <v/>
      </c>
      <c r="AA5">
        <f>IF(AND(AA4&lt;&gt;"",COUNT(AA8:AA49)&gt;0),1,0)</f>
        <v/>
      </c>
      <c r="AB5">
        <f>IF(AND(AB4&lt;&gt;"",COUNT(AB8:AB49)&gt;0),1,0)</f>
        <v/>
      </c>
      <c r="AC5">
        <f>IF(AND(AC4&lt;&gt;"",COUNT(AC8:AC49)&gt;0),1,0)</f>
        <v/>
      </c>
      <c r="AD5">
        <f>IF(AND(AD4&lt;&gt;"",COUNT(AD8:AD49)&gt;0),1,0)</f>
        <v/>
      </c>
      <c r="AE5">
        <f>IF(AND(AE4&lt;&gt;"",COUNT(AE8:AE49)&gt;0),1,0)</f>
        <v/>
      </c>
      <c r="AF5">
        <f>IF(AND(AF4&lt;&gt;"",COUNT(AF8:AF49)&gt;0),1,0)</f>
        <v/>
      </c>
      <c r="AG5">
        <f>IF(AND(AG4&lt;&gt;"",COUNT(AG8:AG49)&gt;0),1,0)</f>
        <v/>
      </c>
      <c r="AH5">
        <f>IF(AND(AH4&lt;&gt;"",COUNT(AH8:AH49)&gt;0),1,0)</f>
        <v/>
      </c>
      <c r="AI5">
        <f>IF(AND(AI4&lt;&gt;"",COUNT(AI8:AI49)&gt;0),1,0)</f>
        <v/>
      </c>
      <c r="AJ5">
        <f>IF(AND(AJ4&lt;&gt;"",COUNT(AJ8:AJ49)&gt;0),1,0)</f>
        <v/>
      </c>
      <c r="AK5">
        <f>IF(AND(AK4&lt;&gt;"",COUNT(AK8:AK49)&gt;0),1,0)</f>
        <v/>
      </c>
      <c r="AL5">
        <f>IF(AND(AL4&lt;&gt;"",COUNT(AL8:AL49)&gt;0),1,0)</f>
        <v/>
      </c>
      <c r="AM5">
        <f>IF(AND(AM4&lt;&gt;"",COUNT(AM8:AM49)&gt;0),1,0)</f>
        <v/>
      </c>
      <c r="AN5">
        <f>IF(AND(AN4&lt;&gt;"",COUNT(AN8:AN49)&gt;0),1,0)</f>
        <v/>
      </c>
      <c r="AO5">
        <f>IF(AND(AO4&lt;&gt;"",COUNT(AO8:AO49)&gt;0),1,0)</f>
        <v/>
      </c>
      <c r="AP5">
        <f>IF(AND(AP4&lt;&gt;"",COUNT(AP8:AP49)&gt;0),1,0)</f>
        <v/>
      </c>
      <c r="AQ5">
        <f>IF(AND(AQ4&lt;&gt;"",COUNT(AQ8:AQ49)&gt;0),1,0)</f>
        <v/>
      </c>
      <c r="AR5">
        <f>IF(AND(AR4&lt;&gt;"",COUNT(AR8:AR49)&gt;0),1,0)</f>
        <v/>
      </c>
      <c r="AS5">
        <f>IF(AND(AS4&lt;&gt;"",COUNT(AS8:AS49)&gt;0),1,0)</f>
        <v/>
      </c>
      <c r="AT5">
        <f>IF(AND(AT4&lt;&gt;"",COUNT(AT8:AT49)&gt;0),1,0)</f>
        <v/>
      </c>
      <c r="AU5">
        <f>IF(AND(AU4&lt;&gt;"",COUNT(AU8:AU49)&gt;0),1,0)</f>
        <v/>
      </c>
      <c r="AV5">
        <f>IF(AND(AV4&lt;&gt;"",COUNT(AV8:AV49)&gt;0),1,0)</f>
        <v/>
      </c>
      <c r="AW5">
        <f>IF(AND(AW4&lt;&gt;"",COUNT(AW8:AW49)&gt;0),1,0)</f>
        <v/>
      </c>
      <c r="AX5">
        <f>IF(AND(AX4&lt;&gt;"",COUNT(AX8:AX49)&gt;0),1,0)</f>
        <v/>
      </c>
      <c r="AY5">
        <f>IF(AND(AY4&lt;&gt;"",COUNT(AY8:AY49)&gt;0),1,0)</f>
        <v/>
      </c>
      <c r="AZ5">
        <f>IF(AND(AZ4&lt;&gt;"",COUNT(AZ8:AZ49)&gt;0),1,0)</f>
        <v/>
      </c>
      <c r="BA5">
        <f>IF(AND(BA4&lt;&gt;"",COUNT(BA8:BA49)&gt;0),1,0)</f>
        <v/>
      </c>
      <c r="BB5">
        <f>IF(AND(BB4&lt;&gt;"",COUNT(BB8:BB49)&gt;0),1,0)</f>
        <v/>
      </c>
    </row>
    <row r="6"/>
    <row r="7">
      <c r="A7" s="42" t="inlineStr">
        <is>
          <t>① RAW: 설문 응답을 숫자로 변환</t>
        </is>
      </c>
    </row>
    <row r="8">
      <c r="A8" s="16" t="inlineStr">
        <is>
          <t>Q16_1</t>
        </is>
      </c>
      <c r="B8" s="16" t="inlineStr">
        <is>
          <t>5점척도</t>
        </is>
      </c>
      <c r="E8">
        <f>IF(설문!E16="","",IFERROR(VALUE(설문!E16),""))</f>
        <v/>
      </c>
      <c r="F8">
        <f>IF(설문!F16="","",IFERROR(VALUE(설문!F16),""))</f>
        <v/>
      </c>
      <c r="G8">
        <f>IF(설문!G16="","",IFERROR(VALUE(설문!G16),""))</f>
        <v/>
      </c>
      <c r="H8">
        <f>IF(설문!H16="","",IFERROR(VALUE(설문!H16),""))</f>
        <v/>
      </c>
      <c r="I8">
        <f>IF(설문!I16="","",IFERROR(VALUE(설문!I16),""))</f>
        <v/>
      </c>
      <c r="J8">
        <f>IF(설문!J16="","",IFERROR(VALUE(설문!J16),""))</f>
        <v/>
      </c>
      <c r="K8">
        <f>IF(설문!K16="","",IFERROR(VALUE(설문!K16),""))</f>
        <v/>
      </c>
      <c r="L8">
        <f>IF(설문!L16="","",IFERROR(VALUE(설문!L16),""))</f>
        <v/>
      </c>
      <c r="M8">
        <f>IF(설문!M16="","",IFERROR(VALUE(설문!M16),""))</f>
        <v/>
      </c>
      <c r="N8">
        <f>IF(설문!N16="","",IFERROR(VALUE(설문!N16),""))</f>
        <v/>
      </c>
      <c r="O8">
        <f>IF(설문!O16="","",IFERROR(VALUE(설문!O16),""))</f>
        <v/>
      </c>
      <c r="P8">
        <f>IF(설문!P16="","",IFERROR(VALUE(설문!P16),""))</f>
        <v/>
      </c>
      <c r="Q8">
        <f>IF(설문!Q16="","",IFERROR(VALUE(설문!Q16),""))</f>
        <v/>
      </c>
      <c r="R8">
        <f>IF(설문!R16="","",IFERROR(VALUE(설문!R16),""))</f>
        <v/>
      </c>
      <c r="S8">
        <f>IF(설문!S16="","",IFERROR(VALUE(설문!S16),""))</f>
        <v/>
      </c>
      <c r="T8">
        <f>IF(설문!T16="","",IFERROR(VALUE(설문!T16),""))</f>
        <v/>
      </c>
      <c r="U8">
        <f>IF(설문!U16="","",IFERROR(VALUE(설문!U16),""))</f>
        <v/>
      </c>
      <c r="V8">
        <f>IF(설문!V16="","",IFERROR(VALUE(설문!V16),""))</f>
        <v/>
      </c>
      <c r="W8">
        <f>IF(설문!W16="","",IFERROR(VALUE(설문!W16),""))</f>
        <v/>
      </c>
      <c r="X8">
        <f>IF(설문!X16="","",IFERROR(VALUE(설문!X16),""))</f>
        <v/>
      </c>
      <c r="Y8">
        <f>IF(설문!Y16="","",IFERROR(VALUE(설문!Y16),""))</f>
        <v/>
      </c>
      <c r="Z8">
        <f>IF(설문!Z16="","",IFERROR(VALUE(설문!Z16),""))</f>
        <v/>
      </c>
      <c r="AA8">
        <f>IF(설문!AA16="","",IFERROR(VALUE(설문!AA16),""))</f>
        <v/>
      </c>
      <c r="AB8">
        <f>IF(설문!AB16="","",IFERROR(VALUE(설문!AB16),""))</f>
        <v/>
      </c>
      <c r="AC8">
        <f>IF(설문!AC16="","",IFERROR(VALUE(설문!AC16),""))</f>
        <v/>
      </c>
      <c r="AD8">
        <f>IF(설문!AD16="","",IFERROR(VALUE(설문!AD16),""))</f>
        <v/>
      </c>
      <c r="AE8">
        <f>IF(설문!AE16="","",IFERROR(VALUE(설문!AE16),""))</f>
        <v/>
      </c>
      <c r="AF8">
        <f>IF(설문!AF16="","",IFERROR(VALUE(설문!AF16),""))</f>
        <v/>
      </c>
      <c r="AG8">
        <f>IF(설문!AG16="","",IFERROR(VALUE(설문!AG16),""))</f>
        <v/>
      </c>
      <c r="AH8">
        <f>IF(설문!AH16="","",IFERROR(VALUE(설문!AH16),""))</f>
        <v/>
      </c>
      <c r="AI8">
        <f>IF(설문!AI16="","",IFERROR(VALUE(설문!AI16),""))</f>
        <v/>
      </c>
      <c r="AJ8">
        <f>IF(설문!AJ16="","",IFERROR(VALUE(설문!AJ16),""))</f>
        <v/>
      </c>
      <c r="AK8">
        <f>IF(설문!AK16="","",IFERROR(VALUE(설문!AK16),""))</f>
        <v/>
      </c>
      <c r="AL8">
        <f>IF(설문!AL16="","",IFERROR(VALUE(설문!AL16),""))</f>
        <v/>
      </c>
      <c r="AM8">
        <f>IF(설문!AM16="","",IFERROR(VALUE(설문!AM16),""))</f>
        <v/>
      </c>
      <c r="AN8">
        <f>IF(설문!AN16="","",IFERROR(VALUE(설문!AN16),""))</f>
        <v/>
      </c>
      <c r="AO8">
        <f>IF(설문!AO16="","",IFERROR(VALUE(설문!AO16),""))</f>
        <v/>
      </c>
      <c r="AP8">
        <f>IF(설문!AP16="","",IFERROR(VALUE(설문!AP16),""))</f>
        <v/>
      </c>
      <c r="AQ8">
        <f>IF(설문!AQ16="","",IFERROR(VALUE(설문!AQ16),""))</f>
        <v/>
      </c>
      <c r="AR8">
        <f>IF(설문!AR16="","",IFERROR(VALUE(설문!AR16),""))</f>
        <v/>
      </c>
      <c r="AS8">
        <f>IF(설문!AS16="","",IFERROR(VALUE(설문!AS16),""))</f>
        <v/>
      </c>
      <c r="AT8">
        <f>IF(설문!AT16="","",IFERROR(VALUE(설문!AT16),""))</f>
        <v/>
      </c>
      <c r="AU8">
        <f>IF(설문!AU16="","",IFERROR(VALUE(설문!AU16),""))</f>
        <v/>
      </c>
      <c r="AV8">
        <f>IF(설문!AV16="","",IFERROR(VALUE(설문!AV16),""))</f>
        <v/>
      </c>
      <c r="AW8">
        <f>IF(설문!AW16="","",IFERROR(VALUE(설문!AW16),""))</f>
        <v/>
      </c>
      <c r="AX8">
        <f>IF(설문!AX16="","",IFERROR(VALUE(설문!AX16),""))</f>
        <v/>
      </c>
      <c r="AY8">
        <f>IF(설문!AY16="","",IFERROR(VALUE(설문!AY16),""))</f>
        <v/>
      </c>
      <c r="AZ8">
        <f>IF(설문!AZ16="","",IFERROR(VALUE(설문!AZ16),""))</f>
        <v/>
      </c>
      <c r="BA8">
        <f>IF(설문!BA16="","",IFERROR(VALUE(설문!BA16),""))</f>
        <v/>
      </c>
      <c r="BB8">
        <f>IF(설문!BB16="","",IFERROR(VALUE(설문!BB16),""))</f>
        <v/>
      </c>
    </row>
    <row r="9">
      <c r="A9" s="16" t="inlineStr">
        <is>
          <t>Q16_2</t>
        </is>
      </c>
      <c r="B9" s="16" t="inlineStr">
        <is>
          <t>5점척도</t>
        </is>
      </c>
      <c r="E9">
        <f>IF(설문!E17="","",IFERROR(VALUE(설문!E17),""))</f>
        <v/>
      </c>
      <c r="F9">
        <f>IF(설문!F17="","",IFERROR(VALUE(설문!F17),""))</f>
        <v/>
      </c>
      <c r="G9">
        <f>IF(설문!G17="","",IFERROR(VALUE(설문!G17),""))</f>
        <v/>
      </c>
      <c r="H9">
        <f>IF(설문!H17="","",IFERROR(VALUE(설문!H17),""))</f>
        <v/>
      </c>
      <c r="I9">
        <f>IF(설문!I17="","",IFERROR(VALUE(설문!I17),""))</f>
        <v/>
      </c>
      <c r="J9">
        <f>IF(설문!J17="","",IFERROR(VALUE(설문!J17),""))</f>
        <v/>
      </c>
      <c r="K9">
        <f>IF(설문!K17="","",IFERROR(VALUE(설문!K17),""))</f>
        <v/>
      </c>
      <c r="L9">
        <f>IF(설문!L17="","",IFERROR(VALUE(설문!L17),""))</f>
        <v/>
      </c>
      <c r="M9">
        <f>IF(설문!M17="","",IFERROR(VALUE(설문!M17),""))</f>
        <v/>
      </c>
      <c r="N9">
        <f>IF(설문!N17="","",IFERROR(VALUE(설문!N17),""))</f>
        <v/>
      </c>
      <c r="O9">
        <f>IF(설문!O17="","",IFERROR(VALUE(설문!O17),""))</f>
        <v/>
      </c>
      <c r="P9">
        <f>IF(설문!P17="","",IFERROR(VALUE(설문!P17),""))</f>
        <v/>
      </c>
      <c r="Q9">
        <f>IF(설문!Q17="","",IFERROR(VALUE(설문!Q17),""))</f>
        <v/>
      </c>
      <c r="R9">
        <f>IF(설문!R17="","",IFERROR(VALUE(설문!R17),""))</f>
        <v/>
      </c>
      <c r="S9">
        <f>IF(설문!S17="","",IFERROR(VALUE(설문!S17),""))</f>
        <v/>
      </c>
      <c r="T9">
        <f>IF(설문!T17="","",IFERROR(VALUE(설문!T17),""))</f>
        <v/>
      </c>
      <c r="U9">
        <f>IF(설문!U17="","",IFERROR(VALUE(설문!U17),""))</f>
        <v/>
      </c>
      <c r="V9">
        <f>IF(설문!V17="","",IFERROR(VALUE(설문!V17),""))</f>
        <v/>
      </c>
      <c r="W9">
        <f>IF(설문!W17="","",IFERROR(VALUE(설문!W17),""))</f>
        <v/>
      </c>
      <c r="X9">
        <f>IF(설문!X17="","",IFERROR(VALUE(설문!X17),""))</f>
        <v/>
      </c>
      <c r="Y9">
        <f>IF(설문!Y17="","",IFERROR(VALUE(설문!Y17),""))</f>
        <v/>
      </c>
      <c r="Z9">
        <f>IF(설문!Z17="","",IFERROR(VALUE(설문!Z17),""))</f>
        <v/>
      </c>
      <c r="AA9">
        <f>IF(설문!AA17="","",IFERROR(VALUE(설문!AA17),""))</f>
        <v/>
      </c>
      <c r="AB9">
        <f>IF(설문!AB17="","",IFERROR(VALUE(설문!AB17),""))</f>
        <v/>
      </c>
      <c r="AC9">
        <f>IF(설문!AC17="","",IFERROR(VALUE(설문!AC17),""))</f>
        <v/>
      </c>
      <c r="AD9">
        <f>IF(설문!AD17="","",IFERROR(VALUE(설문!AD17),""))</f>
        <v/>
      </c>
      <c r="AE9">
        <f>IF(설문!AE17="","",IFERROR(VALUE(설문!AE17),""))</f>
        <v/>
      </c>
      <c r="AF9">
        <f>IF(설문!AF17="","",IFERROR(VALUE(설문!AF17),""))</f>
        <v/>
      </c>
      <c r="AG9">
        <f>IF(설문!AG17="","",IFERROR(VALUE(설문!AG17),""))</f>
        <v/>
      </c>
      <c r="AH9">
        <f>IF(설문!AH17="","",IFERROR(VALUE(설문!AH17),""))</f>
        <v/>
      </c>
      <c r="AI9">
        <f>IF(설문!AI17="","",IFERROR(VALUE(설문!AI17),""))</f>
        <v/>
      </c>
      <c r="AJ9">
        <f>IF(설문!AJ17="","",IFERROR(VALUE(설문!AJ17),""))</f>
        <v/>
      </c>
      <c r="AK9">
        <f>IF(설문!AK17="","",IFERROR(VALUE(설문!AK17),""))</f>
        <v/>
      </c>
      <c r="AL9">
        <f>IF(설문!AL17="","",IFERROR(VALUE(설문!AL17),""))</f>
        <v/>
      </c>
      <c r="AM9">
        <f>IF(설문!AM17="","",IFERROR(VALUE(설문!AM17),""))</f>
        <v/>
      </c>
      <c r="AN9">
        <f>IF(설문!AN17="","",IFERROR(VALUE(설문!AN17),""))</f>
        <v/>
      </c>
      <c r="AO9">
        <f>IF(설문!AO17="","",IFERROR(VALUE(설문!AO17),""))</f>
        <v/>
      </c>
      <c r="AP9">
        <f>IF(설문!AP17="","",IFERROR(VALUE(설문!AP17),""))</f>
        <v/>
      </c>
      <c r="AQ9">
        <f>IF(설문!AQ17="","",IFERROR(VALUE(설문!AQ17),""))</f>
        <v/>
      </c>
      <c r="AR9">
        <f>IF(설문!AR17="","",IFERROR(VALUE(설문!AR17),""))</f>
        <v/>
      </c>
      <c r="AS9">
        <f>IF(설문!AS17="","",IFERROR(VALUE(설문!AS17),""))</f>
        <v/>
      </c>
      <c r="AT9">
        <f>IF(설문!AT17="","",IFERROR(VALUE(설문!AT17),""))</f>
        <v/>
      </c>
      <c r="AU9">
        <f>IF(설문!AU17="","",IFERROR(VALUE(설문!AU17),""))</f>
        <v/>
      </c>
      <c r="AV9">
        <f>IF(설문!AV17="","",IFERROR(VALUE(설문!AV17),""))</f>
        <v/>
      </c>
      <c r="AW9">
        <f>IF(설문!AW17="","",IFERROR(VALUE(설문!AW17),""))</f>
        <v/>
      </c>
      <c r="AX9">
        <f>IF(설문!AX17="","",IFERROR(VALUE(설문!AX17),""))</f>
        <v/>
      </c>
      <c r="AY9">
        <f>IF(설문!AY17="","",IFERROR(VALUE(설문!AY17),""))</f>
        <v/>
      </c>
      <c r="AZ9">
        <f>IF(설문!AZ17="","",IFERROR(VALUE(설문!AZ17),""))</f>
        <v/>
      </c>
      <c r="BA9">
        <f>IF(설문!BA17="","",IFERROR(VALUE(설문!BA17),""))</f>
        <v/>
      </c>
      <c r="BB9">
        <f>IF(설문!BB17="","",IFERROR(VALUE(설문!BB17),""))</f>
        <v/>
      </c>
    </row>
    <row r="10">
      <c r="A10" s="16" t="inlineStr">
        <is>
          <t>Q16_3</t>
        </is>
      </c>
      <c r="B10" s="16" t="inlineStr">
        <is>
          <t>5점척도</t>
        </is>
      </c>
      <c r="E10">
        <f>IF(설문!E18="","",IFERROR(VALUE(설문!E18),""))</f>
        <v/>
      </c>
      <c r="F10">
        <f>IF(설문!F18="","",IFERROR(VALUE(설문!F18),""))</f>
        <v/>
      </c>
      <c r="G10">
        <f>IF(설문!G18="","",IFERROR(VALUE(설문!G18),""))</f>
        <v/>
      </c>
      <c r="H10">
        <f>IF(설문!H18="","",IFERROR(VALUE(설문!H18),""))</f>
        <v/>
      </c>
      <c r="I10">
        <f>IF(설문!I18="","",IFERROR(VALUE(설문!I18),""))</f>
        <v/>
      </c>
      <c r="J10">
        <f>IF(설문!J18="","",IFERROR(VALUE(설문!J18),""))</f>
        <v/>
      </c>
      <c r="K10">
        <f>IF(설문!K18="","",IFERROR(VALUE(설문!K18),""))</f>
        <v/>
      </c>
      <c r="L10">
        <f>IF(설문!L18="","",IFERROR(VALUE(설문!L18),""))</f>
        <v/>
      </c>
      <c r="M10">
        <f>IF(설문!M18="","",IFERROR(VALUE(설문!M18),""))</f>
        <v/>
      </c>
      <c r="N10">
        <f>IF(설문!N18="","",IFERROR(VALUE(설문!N18),""))</f>
        <v/>
      </c>
      <c r="O10">
        <f>IF(설문!O18="","",IFERROR(VALUE(설문!O18),""))</f>
        <v/>
      </c>
      <c r="P10">
        <f>IF(설문!P18="","",IFERROR(VALUE(설문!P18),""))</f>
        <v/>
      </c>
      <c r="Q10">
        <f>IF(설문!Q18="","",IFERROR(VALUE(설문!Q18),""))</f>
        <v/>
      </c>
      <c r="R10">
        <f>IF(설문!R18="","",IFERROR(VALUE(설문!R18),""))</f>
        <v/>
      </c>
      <c r="S10">
        <f>IF(설문!S18="","",IFERROR(VALUE(설문!S18),""))</f>
        <v/>
      </c>
      <c r="T10">
        <f>IF(설문!T18="","",IFERROR(VALUE(설문!T18),""))</f>
        <v/>
      </c>
      <c r="U10">
        <f>IF(설문!U18="","",IFERROR(VALUE(설문!U18),""))</f>
        <v/>
      </c>
      <c r="V10">
        <f>IF(설문!V18="","",IFERROR(VALUE(설문!V18),""))</f>
        <v/>
      </c>
      <c r="W10">
        <f>IF(설문!W18="","",IFERROR(VALUE(설문!W18),""))</f>
        <v/>
      </c>
      <c r="X10">
        <f>IF(설문!X18="","",IFERROR(VALUE(설문!X18),""))</f>
        <v/>
      </c>
      <c r="Y10">
        <f>IF(설문!Y18="","",IFERROR(VALUE(설문!Y18),""))</f>
        <v/>
      </c>
      <c r="Z10">
        <f>IF(설문!Z18="","",IFERROR(VALUE(설문!Z18),""))</f>
        <v/>
      </c>
      <c r="AA10">
        <f>IF(설문!AA18="","",IFERROR(VALUE(설문!AA18),""))</f>
        <v/>
      </c>
      <c r="AB10">
        <f>IF(설문!AB18="","",IFERROR(VALUE(설문!AB18),""))</f>
        <v/>
      </c>
      <c r="AC10">
        <f>IF(설문!AC18="","",IFERROR(VALUE(설문!AC18),""))</f>
        <v/>
      </c>
      <c r="AD10">
        <f>IF(설문!AD18="","",IFERROR(VALUE(설문!AD18),""))</f>
        <v/>
      </c>
      <c r="AE10">
        <f>IF(설문!AE18="","",IFERROR(VALUE(설문!AE18),""))</f>
        <v/>
      </c>
      <c r="AF10">
        <f>IF(설문!AF18="","",IFERROR(VALUE(설문!AF18),""))</f>
        <v/>
      </c>
      <c r="AG10">
        <f>IF(설문!AG18="","",IFERROR(VALUE(설문!AG18),""))</f>
        <v/>
      </c>
      <c r="AH10">
        <f>IF(설문!AH18="","",IFERROR(VALUE(설문!AH18),""))</f>
        <v/>
      </c>
      <c r="AI10">
        <f>IF(설문!AI18="","",IFERROR(VALUE(설문!AI18),""))</f>
        <v/>
      </c>
      <c r="AJ10">
        <f>IF(설문!AJ18="","",IFERROR(VALUE(설문!AJ18),""))</f>
        <v/>
      </c>
      <c r="AK10">
        <f>IF(설문!AK18="","",IFERROR(VALUE(설문!AK18),""))</f>
        <v/>
      </c>
      <c r="AL10">
        <f>IF(설문!AL18="","",IFERROR(VALUE(설문!AL18),""))</f>
        <v/>
      </c>
      <c r="AM10">
        <f>IF(설문!AM18="","",IFERROR(VALUE(설문!AM18),""))</f>
        <v/>
      </c>
      <c r="AN10">
        <f>IF(설문!AN18="","",IFERROR(VALUE(설문!AN18),""))</f>
        <v/>
      </c>
      <c r="AO10">
        <f>IF(설문!AO18="","",IFERROR(VALUE(설문!AO18),""))</f>
        <v/>
      </c>
      <c r="AP10">
        <f>IF(설문!AP18="","",IFERROR(VALUE(설문!AP18),""))</f>
        <v/>
      </c>
      <c r="AQ10">
        <f>IF(설문!AQ18="","",IFERROR(VALUE(설문!AQ18),""))</f>
        <v/>
      </c>
      <c r="AR10">
        <f>IF(설문!AR18="","",IFERROR(VALUE(설문!AR18),""))</f>
        <v/>
      </c>
      <c r="AS10">
        <f>IF(설문!AS18="","",IFERROR(VALUE(설문!AS18),""))</f>
        <v/>
      </c>
      <c r="AT10">
        <f>IF(설문!AT18="","",IFERROR(VALUE(설문!AT18),""))</f>
        <v/>
      </c>
      <c r="AU10">
        <f>IF(설문!AU18="","",IFERROR(VALUE(설문!AU18),""))</f>
        <v/>
      </c>
      <c r="AV10">
        <f>IF(설문!AV18="","",IFERROR(VALUE(설문!AV18),""))</f>
        <v/>
      </c>
      <c r="AW10">
        <f>IF(설문!AW18="","",IFERROR(VALUE(설문!AW18),""))</f>
        <v/>
      </c>
      <c r="AX10">
        <f>IF(설문!AX18="","",IFERROR(VALUE(설문!AX18),""))</f>
        <v/>
      </c>
      <c r="AY10">
        <f>IF(설문!AY18="","",IFERROR(VALUE(설문!AY18),""))</f>
        <v/>
      </c>
      <c r="AZ10">
        <f>IF(설문!AZ18="","",IFERROR(VALUE(설문!AZ18),""))</f>
        <v/>
      </c>
      <c r="BA10">
        <f>IF(설문!BA18="","",IFERROR(VALUE(설문!BA18),""))</f>
        <v/>
      </c>
      <c r="BB10">
        <f>IF(설문!BB18="","",IFERROR(VALUE(설문!BB18),""))</f>
        <v/>
      </c>
    </row>
    <row r="11">
      <c r="A11" s="16" t="inlineStr">
        <is>
          <t>Q16_4</t>
        </is>
      </c>
      <c r="B11" s="16" t="inlineStr">
        <is>
          <t>5점척도</t>
        </is>
      </c>
      <c r="E11">
        <f>IF(설문!E19="","",IFERROR(VALUE(설문!E19),""))</f>
        <v/>
      </c>
      <c r="F11">
        <f>IF(설문!F19="","",IFERROR(VALUE(설문!F19),""))</f>
        <v/>
      </c>
      <c r="G11">
        <f>IF(설문!G19="","",IFERROR(VALUE(설문!G19),""))</f>
        <v/>
      </c>
      <c r="H11">
        <f>IF(설문!H19="","",IFERROR(VALUE(설문!H19),""))</f>
        <v/>
      </c>
      <c r="I11">
        <f>IF(설문!I19="","",IFERROR(VALUE(설문!I19),""))</f>
        <v/>
      </c>
      <c r="J11">
        <f>IF(설문!J19="","",IFERROR(VALUE(설문!J19),""))</f>
        <v/>
      </c>
      <c r="K11">
        <f>IF(설문!K19="","",IFERROR(VALUE(설문!K19),""))</f>
        <v/>
      </c>
      <c r="L11">
        <f>IF(설문!L19="","",IFERROR(VALUE(설문!L19),""))</f>
        <v/>
      </c>
      <c r="M11">
        <f>IF(설문!M19="","",IFERROR(VALUE(설문!M19),""))</f>
        <v/>
      </c>
      <c r="N11">
        <f>IF(설문!N19="","",IFERROR(VALUE(설문!N19),""))</f>
        <v/>
      </c>
      <c r="O11">
        <f>IF(설문!O19="","",IFERROR(VALUE(설문!O19),""))</f>
        <v/>
      </c>
      <c r="P11">
        <f>IF(설문!P19="","",IFERROR(VALUE(설문!P19),""))</f>
        <v/>
      </c>
      <c r="Q11">
        <f>IF(설문!Q19="","",IFERROR(VALUE(설문!Q19),""))</f>
        <v/>
      </c>
      <c r="R11">
        <f>IF(설문!R19="","",IFERROR(VALUE(설문!R19),""))</f>
        <v/>
      </c>
      <c r="S11">
        <f>IF(설문!S19="","",IFERROR(VALUE(설문!S19),""))</f>
        <v/>
      </c>
      <c r="T11">
        <f>IF(설문!T19="","",IFERROR(VALUE(설문!T19),""))</f>
        <v/>
      </c>
      <c r="U11">
        <f>IF(설문!U19="","",IFERROR(VALUE(설문!U19),""))</f>
        <v/>
      </c>
      <c r="V11">
        <f>IF(설문!V19="","",IFERROR(VALUE(설문!V19),""))</f>
        <v/>
      </c>
      <c r="W11">
        <f>IF(설문!W19="","",IFERROR(VALUE(설문!W19),""))</f>
        <v/>
      </c>
      <c r="X11">
        <f>IF(설문!X19="","",IFERROR(VALUE(설문!X19),""))</f>
        <v/>
      </c>
      <c r="Y11">
        <f>IF(설문!Y19="","",IFERROR(VALUE(설문!Y19),""))</f>
        <v/>
      </c>
      <c r="Z11">
        <f>IF(설문!Z19="","",IFERROR(VALUE(설문!Z19),""))</f>
        <v/>
      </c>
      <c r="AA11">
        <f>IF(설문!AA19="","",IFERROR(VALUE(설문!AA19),""))</f>
        <v/>
      </c>
      <c r="AB11">
        <f>IF(설문!AB19="","",IFERROR(VALUE(설문!AB19),""))</f>
        <v/>
      </c>
      <c r="AC11">
        <f>IF(설문!AC19="","",IFERROR(VALUE(설문!AC19),""))</f>
        <v/>
      </c>
      <c r="AD11">
        <f>IF(설문!AD19="","",IFERROR(VALUE(설문!AD19),""))</f>
        <v/>
      </c>
      <c r="AE11">
        <f>IF(설문!AE19="","",IFERROR(VALUE(설문!AE19),""))</f>
        <v/>
      </c>
      <c r="AF11">
        <f>IF(설문!AF19="","",IFERROR(VALUE(설문!AF19),""))</f>
        <v/>
      </c>
      <c r="AG11">
        <f>IF(설문!AG19="","",IFERROR(VALUE(설문!AG19),""))</f>
        <v/>
      </c>
      <c r="AH11">
        <f>IF(설문!AH19="","",IFERROR(VALUE(설문!AH19),""))</f>
        <v/>
      </c>
      <c r="AI11">
        <f>IF(설문!AI19="","",IFERROR(VALUE(설문!AI19),""))</f>
        <v/>
      </c>
      <c r="AJ11">
        <f>IF(설문!AJ19="","",IFERROR(VALUE(설문!AJ19),""))</f>
        <v/>
      </c>
      <c r="AK11">
        <f>IF(설문!AK19="","",IFERROR(VALUE(설문!AK19),""))</f>
        <v/>
      </c>
      <c r="AL11">
        <f>IF(설문!AL19="","",IFERROR(VALUE(설문!AL19),""))</f>
        <v/>
      </c>
      <c r="AM11">
        <f>IF(설문!AM19="","",IFERROR(VALUE(설문!AM19),""))</f>
        <v/>
      </c>
      <c r="AN11">
        <f>IF(설문!AN19="","",IFERROR(VALUE(설문!AN19),""))</f>
        <v/>
      </c>
      <c r="AO11">
        <f>IF(설문!AO19="","",IFERROR(VALUE(설문!AO19),""))</f>
        <v/>
      </c>
      <c r="AP11">
        <f>IF(설문!AP19="","",IFERROR(VALUE(설문!AP19),""))</f>
        <v/>
      </c>
      <c r="AQ11">
        <f>IF(설문!AQ19="","",IFERROR(VALUE(설문!AQ19),""))</f>
        <v/>
      </c>
      <c r="AR11">
        <f>IF(설문!AR19="","",IFERROR(VALUE(설문!AR19),""))</f>
        <v/>
      </c>
      <c r="AS11">
        <f>IF(설문!AS19="","",IFERROR(VALUE(설문!AS19),""))</f>
        <v/>
      </c>
      <c r="AT11">
        <f>IF(설문!AT19="","",IFERROR(VALUE(설문!AT19),""))</f>
        <v/>
      </c>
      <c r="AU11">
        <f>IF(설문!AU19="","",IFERROR(VALUE(설문!AU19),""))</f>
        <v/>
      </c>
      <c r="AV11">
        <f>IF(설문!AV19="","",IFERROR(VALUE(설문!AV19),""))</f>
        <v/>
      </c>
      <c r="AW11">
        <f>IF(설문!AW19="","",IFERROR(VALUE(설문!AW19),""))</f>
        <v/>
      </c>
      <c r="AX11">
        <f>IF(설문!AX19="","",IFERROR(VALUE(설문!AX19),""))</f>
        <v/>
      </c>
      <c r="AY11">
        <f>IF(설문!AY19="","",IFERROR(VALUE(설문!AY19),""))</f>
        <v/>
      </c>
      <c r="AZ11">
        <f>IF(설문!AZ19="","",IFERROR(VALUE(설문!AZ19),""))</f>
        <v/>
      </c>
      <c r="BA11">
        <f>IF(설문!BA19="","",IFERROR(VALUE(설문!BA19),""))</f>
        <v/>
      </c>
      <c r="BB11">
        <f>IF(설문!BB19="","",IFERROR(VALUE(설문!BB19),""))</f>
        <v/>
      </c>
    </row>
    <row r="12">
      <c r="A12" s="16" t="inlineStr">
        <is>
          <t>Q17_1</t>
        </is>
      </c>
      <c r="B12" s="16" t="inlineStr">
        <is>
          <t>시행=1</t>
        </is>
      </c>
      <c r="E12">
        <f>IF(설문!E21="","",IF(설문!E21="시행",1,0))</f>
        <v/>
      </c>
      <c r="F12">
        <f>IF(설문!F21="","",IF(설문!F21="시행",1,0))</f>
        <v/>
      </c>
      <c r="G12">
        <f>IF(설문!G21="","",IF(설문!G21="시행",1,0))</f>
        <v/>
      </c>
      <c r="H12">
        <f>IF(설문!H21="","",IF(설문!H21="시행",1,0))</f>
        <v/>
      </c>
      <c r="I12">
        <f>IF(설문!I21="","",IF(설문!I21="시행",1,0))</f>
        <v/>
      </c>
      <c r="J12">
        <f>IF(설문!J21="","",IF(설문!J21="시행",1,0))</f>
        <v/>
      </c>
      <c r="K12">
        <f>IF(설문!K21="","",IF(설문!K21="시행",1,0))</f>
        <v/>
      </c>
      <c r="L12">
        <f>IF(설문!L21="","",IF(설문!L21="시행",1,0))</f>
        <v/>
      </c>
      <c r="M12">
        <f>IF(설문!M21="","",IF(설문!M21="시행",1,0))</f>
        <v/>
      </c>
      <c r="N12">
        <f>IF(설문!N21="","",IF(설문!N21="시행",1,0))</f>
        <v/>
      </c>
      <c r="O12">
        <f>IF(설문!O21="","",IF(설문!O21="시행",1,0))</f>
        <v/>
      </c>
      <c r="P12">
        <f>IF(설문!P21="","",IF(설문!P21="시행",1,0))</f>
        <v/>
      </c>
      <c r="Q12">
        <f>IF(설문!Q21="","",IF(설문!Q21="시행",1,0))</f>
        <v/>
      </c>
      <c r="R12">
        <f>IF(설문!R21="","",IF(설문!R21="시행",1,0))</f>
        <v/>
      </c>
      <c r="S12">
        <f>IF(설문!S21="","",IF(설문!S21="시행",1,0))</f>
        <v/>
      </c>
      <c r="T12">
        <f>IF(설문!T21="","",IF(설문!T21="시행",1,0))</f>
        <v/>
      </c>
      <c r="U12">
        <f>IF(설문!U21="","",IF(설문!U21="시행",1,0))</f>
        <v/>
      </c>
      <c r="V12">
        <f>IF(설문!V21="","",IF(설문!V21="시행",1,0))</f>
        <v/>
      </c>
      <c r="W12">
        <f>IF(설문!W21="","",IF(설문!W21="시행",1,0))</f>
        <v/>
      </c>
      <c r="X12">
        <f>IF(설문!X21="","",IF(설문!X21="시행",1,0))</f>
        <v/>
      </c>
      <c r="Y12">
        <f>IF(설문!Y21="","",IF(설문!Y21="시행",1,0))</f>
        <v/>
      </c>
      <c r="Z12">
        <f>IF(설문!Z21="","",IF(설문!Z21="시행",1,0))</f>
        <v/>
      </c>
      <c r="AA12">
        <f>IF(설문!AA21="","",IF(설문!AA21="시행",1,0))</f>
        <v/>
      </c>
      <c r="AB12">
        <f>IF(설문!AB21="","",IF(설문!AB21="시행",1,0))</f>
        <v/>
      </c>
      <c r="AC12">
        <f>IF(설문!AC21="","",IF(설문!AC21="시행",1,0))</f>
        <v/>
      </c>
      <c r="AD12">
        <f>IF(설문!AD21="","",IF(설문!AD21="시행",1,0))</f>
        <v/>
      </c>
      <c r="AE12">
        <f>IF(설문!AE21="","",IF(설문!AE21="시행",1,0))</f>
        <v/>
      </c>
      <c r="AF12">
        <f>IF(설문!AF21="","",IF(설문!AF21="시행",1,0))</f>
        <v/>
      </c>
      <c r="AG12">
        <f>IF(설문!AG21="","",IF(설문!AG21="시행",1,0))</f>
        <v/>
      </c>
      <c r="AH12">
        <f>IF(설문!AH21="","",IF(설문!AH21="시행",1,0))</f>
        <v/>
      </c>
      <c r="AI12">
        <f>IF(설문!AI21="","",IF(설문!AI21="시행",1,0))</f>
        <v/>
      </c>
      <c r="AJ12">
        <f>IF(설문!AJ21="","",IF(설문!AJ21="시행",1,0))</f>
        <v/>
      </c>
      <c r="AK12">
        <f>IF(설문!AK21="","",IF(설문!AK21="시행",1,0))</f>
        <v/>
      </c>
      <c r="AL12">
        <f>IF(설문!AL21="","",IF(설문!AL21="시행",1,0))</f>
        <v/>
      </c>
      <c r="AM12">
        <f>IF(설문!AM21="","",IF(설문!AM21="시행",1,0))</f>
        <v/>
      </c>
      <c r="AN12">
        <f>IF(설문!AN21="","",IF(설문!AN21="시행",1,0))</f>
        <v/>
      </c>
      <c r="AO12">
        <f>IF(설문!AO21="","",IF(설문!AO21="시행",1,0))</f>
        <v/>
      </c>
      <c r="AP12">
        <f>IF(설문!AP21="","",IF(설문!AP21="시행",1,0))</f>
        <v/>
      </c>
      <c r="AQ12">
        <f>IF(설문!AQ21="","",IF(설문!AQ21="시행",1,0))</f>
        <v/>
      </c>
      <c r="AR12">
        <f>IF(설문!AR21="","",IF(설문!AR21="시행",1,0))</f>
        <v/>
      </c>
      <c r="AS12">
        <f>IF(설문!AS21="","",IF(설문!AS21="시행",1,0))</f>
        <v/>
      </c>
      <c r="AT12">
        <f>IF(설문!AT21="","",IF(설문!AT21="시행",1,0))</f>
        <v/>
      </c>
      <c r="AU12">
        <f>IF(설문!AU21="","",IF(설문!AU21="시행",1,0))</f>
        <v/>
      </c>
      <c r="AV12">
        <f>IF(설문!AV21="","",IF(설문!AV21="시행",1,0))</f>
        <v/>
      </c>
      <c r="AW12">
        <f>IF(설문!AW21="","",IF(설문!AW21="시행",1,0))</f>
        <v/>
      </c>
      <c r="AX12">
        <f>IF(설문!AX21="","",IF(설문!AX21="시행",1,0))</f>
        <v/>
      </c>
      <c r="AY12">
        <f>IF(설문!AY21="","",IF(설문!AY21="시행",1,0))</f>
        <v/>
      </c>
      <c r="AZ12">
        <f>IF(설문!AZ21="","",IF(설문!AZ21="시행",1,0))</f>
        <v/>
      </c>
      <c r="BA12">
        <f>IF(설문!BA21="","",IF(설문!BA21="시행",1,0))</f>
        <v/>
      </c>
      <c r="BB12">
        <f>IF(설문!BB21="","",IF(설문!BB21="시행",1,0))</f>
        <v/>
      </c>
    </row>
    <row r="13">
      <c r="A13" s="16" t="inlineStr">
        <is>
          <t>Q17_1A</t>
        </is>
      </c>
      <c r="B13" s="16" t="inlineStr">
        <is>
          <t>활성화 1~5</t>
        </is>
      </c>
      <c r="E13">
        <f>IF(설문!E22="","",IFERROR(VALUE(설문!E22),""))</f>
        <v/>
      </c>
      <c r="F13">
        <f>IF(설문!F22="","",IFERROR(VALUE(설문!F22),""))</f>
        <v/>
      </c>
      <c r="G13">
        <f>IF(설문!G22="","",IFERROR(VALUE(설문!G22),""))</f>
        <v/>
      </c>
      <c r="H13">
        <f>IF(설문!H22="","",IFERROR(VALUE(설문!H22),""))</f>
        <v/>
      </c>
      <c r="I13">
        <f>IF(설문!I22="","",IFERROR(VALUE(설문!I22),""))</f>
        <v/>
      </c>
      <c r="J13">
        <f>IF(설문!J22="","",IFERROR(VALUE(설문!J22),""))</f>
        <v/>
      </c>
      <c r="K13">
        <f>IF(설문!K22="","",IFERROR(VALUE(설문!K22),""))</f>
        <v/>
      </c>
      <c r="L13">
        <f>IF(설문!L22="","",IFERROR(VALUE(설문!L22),""))</f>
        <v/>
      </c>
      <c r="M13">
        <f>IF(설문!M22="","",IFERROR(VALUE(설문!M22),""))</f>
        <v/>
      </c>
      <c r="N13">
        <f>IF(설문!N22="","",IFERROR(VALUE(설문!N22),""))</f>
        <v/>
      </c>
      <c r="O13">
        <f>IF(설문!O22="","",IFERROR(VALUE(설문!O22),""))</f>
        <v/>
      </c>
      <c r="P13">
        <f>IF(설문!P22="","",IFERROR(VALUE(설문!P22),""))</f>
        <v/>
      </c>
      <c r="Q13">
        <f>IF(설문!Q22="","",IFERROR(VALUE(설문!Q22),""))</f>
        <v/>
      </c>
      <c r="R13">
        <f>IF(설문!R22="","",IFERROR(VALUE(설문!R22),""))</f>
        <v/>
      </c>
      <c r="S13">
        <f>IF(설문!S22="","",IFERROR(VALUE(설문!S22),""))</f>
        <v/>
      </c>
      <c r="T13">
        <f>IF(설문!T22="","",IFERROR(VALUE(설문!T22),""))</f>
        <v/>
      </c>
      <c r="U13">
        <f>IF(설문!U22="","",IFERROR(VALUE(설문!U22),""))</f>
        <v/>
      </c>
      <c r="V13">
        <f>IF(설문!V22="","",IFERROR(VALUE(설문!V22),""))</f>
        <v/>
      </c>
      <c r="W13">
        <f>IF(설문!W22="","",IFERROR(VALUE(설문!W22),""))</f>
        <v/>
      </c>
      <c r="X13">
        <f>IF(설문!X22="","",IFERROR(VALUE(설문!X22),""))</f>
        <v/>
      </c>
      <c r="Y13">
        <f>IF(설문!Y22="","",IFERROR(VALUE(설문!Y22),""))</f>
        <v/>
      </c>
      <c r="Z13">
        <f>IF(설문!Z22="","",IFERROR(VALUE(설문!Z22),""))</f>
        <v/>
      </c>
      <c r="AA13">
        <f>IF(설문!AA22="","",IFERROR(VALUE(설문!AA22),""))</f>
        <v/>
      </c>
      <c r="AB13">
        <f>IF(설문!AB22="","",IFERROR(VALUE(설문!AB22),""))</f>
        <v/>
      </c>
      <c r="AC13">
        <f>IF(설문!AC22="","",IFERROR(VALUE(설문!AC22),""))</f>
        <v/>
      </c>
      <c r="AD13">
        <f>IF(설문!AD22="","",IFERROR(VALUE(설문!AD22),""))</f>
        <v/>
      </c>
      <c r="AE13">
        <f>IF(설문!AE22="","",IFERROR(VALUE(설문!AE22),""))</f>
        <v/>
      </c>
      <c r="AF13">
        <f>IF(설문!AF22="","",IFERROR(VALUE(설문!AF22),""))</f>
        <v/>
      </c>
      <c r="AG13">
        <f>IF(설문!AG22="","",IFERROR(VALUE(설문!AG22),""))</f>
        <v/>
      </c>
      <c r="AH13">
        <f>IF(설문!AH22="","",IFERROR(VALUE(설문!AH22),""))</f>
        <v/>
      </c>
      <c r="AI13">
        <f>IF(설문!AI22="","",IFERROR(VALUE(설문!AI22),""))</f>
        <v/>
      </c>
      <c r="AJ13">
        <f>IF(설문!AJ22="","",IFERROR(VALUE(설문!AJ22),""))</f>
        <v/>
      </c>
      <c r="AK13">
        <f>IF(설문!AK22="","",IFERROR(VALUE(설문!AK22),""))</f>
        <v/>
      </c>
      <c r="AL13">
        <f>IF(설문!AL22="","",IFERROR(VALUE(설문!AL22),""))</f>
        <v/>
      </c>
      <c r="AM13">
        <f>IF(설문!AM22="","",IFERROR(VALUE(설문!AM22),""))</f>
        <v/>
      </c>
      <c r="AN13">
        <f>IF(설문!AN22="","",IFERROR(VALUE(설문!AN22),""))</f>
        <v/>
      </c>
      <c r="AO13">
        <f>IF(설문!AO22="","",IFERROR(VALUE(설문!AO22),""))</f>
        <v/>
      </c>
      <c r="AP13">
        <f>IF(설문!AP22="","",IFERROR(VALUE(설문!AP22),""))</f>
        <v/>
      </c>
      <c r="AQ13">
        <f>IF(설문!AQ22="","",IFERROR(VALUE(설문!AQ22),""))</f>
        <v/>
      </c>
      <c r="AR13">
        <f>IF(설문!AR22="","",IFERROR(VALUE(설문!AR22),""))</f>
        <v/>
      </c>
      <c r="AS13">
        <f>IF(설문!AS22="","",IFERROR(VALUE(설문!AS22),""))</f>
        <v/>
      </c>
      <c r="AT13">
        <f>IF(설문!AT22="","",IFERROR(VALUE(설문!AT22),""))</f>
        <v/>
      </c>
      <c r="AU13">
        <f>IF(설문!AU22="","",IFERROR(VALUE(설문!AU22),""))</f>
        <v/>
      </c>
      <c r="AV13">
        <f>IF(설문!AV22="","",IFERROR(VALUE(설문!AV22),""))</f>
        <v/>
      </c>
      <c r="AW13">
        <f>IF(설문!AW22="","",IFERROR(VALUE(설문!AW22),""))</f>
        <v/>
      </c>
      <c r="AX13">
        <f>IF(설문!AX22="","",IFERROR(VALUE(설문!AX22),""))</f>
        <v/>
      </c>
      <c r="AY13">
        <f>IF(설문!AY22="","",IFERROR(VALUE(설문!AY22),""))</f>
        <v/>
      </c>
      <c r="AZ13">
        <f>IF(설문!AZ22="","",IFERROR(VALUE(설문!AZ22),""))</f>
        <v/>
      </c>
      <c r="BA13">
        <f>IF(설문!BA22="","",IFERROR(VALUE(설문!BA22),""))</f>
        <v/>
      </c>
      <c r="BB13">
        <f>IF(설문!BB22="","",IFERROR(VALUE(설문!BB22),""))</f>
        <v/>
      </c>
    </row>
    <row r="14">
      <c r="A14" s="16" t="inlineStr">
        <is>
          <t>Q17_2</t>
        </is>
      </c>
      <c r="B14" s="16" t="inlineStr">
        <is>
          <t>시행=1</t>
        </is>
      </c>
      <c r="E14">
        <f>IF(설문!E23="","",IF(설문!E23="시행",1,0))</f>
        <v/>
      </c>
      <c r="F14">
        <f>IF(설문!F23="","",IF(설문!F23="시행",1,0))</f>
        <v/>
      </c>
      <c r="G14">
        <f>IF(설문!G23="","",IF(설문!G23="시행",1,0))</f>
        <v/>
      </c>
      <c r="H14">
        <f>IF(설문!H23="","",IF(설문!H23="시행",1,0))</f>
        <v/>
      </c>
      <c r="I14">
        <f>IF(설문!I23="","",IF(설문!I23="시행",1,0))</f>
        <v/>
      </c>
      <c r="J14">
        <f>IF(설문!J23="","",IF(설문!J23="시행",1,0))</f>
        <v/>
      </c>
      <c r="K14">
        <f>IF(설문!K23="","",IF(설문!K23="시행",1,0))</f>
        <v/>
      </c>
      <c r="L14">
        <f>IF(설문!L23="","",IF(설문!L23="시행",1,0))</f>
        <v/>
      </c>
      <c r="M14">
        <f>IF(설문!M23="","",IF(설문!M23="시행",1,0))</f>
        <v/>
      </c>
      <c r="N14">
        <f>IF(설문!N23="","",IF(설문!N23="시행",1,0))</f>
        <v/>
      </c>
      <c r="O14">
        <f>IF(설문!O23="","",IF(설문!O23="시행",1,0))</f>
        <v/>
      </c>
      <c r="P14">
        <f>IF(설문!P23="","",IF(설문!P23="시행",1,0))</f>
        <v/>
      </c>
      <c r="Q14">
        <f>IF(설문!Q23="","",IF(설문!Q23="시행",1,0))</f>
        <v/>
      </c>
      <c r="R14">
        <f>IF(설문!R23="","",IF(설문!R23="시행",1,0))</f>
        <v/>
      </c>
      <c r="S14">
        <f>IF(설문!S23="","",IF(설문!S23="시행",1,0))</f>
        <v/>
      </c>
      <c r="T14">
        <f>IF(설문!T23="","",IF(설문!T23="시행",1,0))</f>
        <v/>
      </c>
      <c r="U14">
        <f>IF(설문!U23="","",IF(설문!U23="시행",1,0))</f>
        <v/>
      </c>
      <c r="V14">
        <f>IF(설문!V23="","",IF(설문!V23="시행",1,0))</f>
        <v/>
      </c>
      <c r="W14">
        <f>IF(설문!W23="","",IF(설문!W23="시행",1,0))</f>
        <v/>
      </c>
      <c r="X14">
        <f>IF(설문!X23="","",IF(설문!X23="시행",1,0))</f>
        <v/>
      </c>
      <c r="Y14">
        <f>IF(설문!Y23="","",IF(설문!Y23="시행",1,0))</f>
        <v/>
      </c>
      <c r="Z14">
        <f>IF(설문!Z23="","",IF(설문!Z23="시행",1,0))</f>
        <v/>
      </c>
      <c r="AA14">
        <f>IF(설문!AA23="","",IF(설문!AA23="시행",1,0))</f>
        <v/>
      </c>
      <c r="AB14">
        <f>IF(설문!AB23="","",IF(설문!AB23="시행",1,0))</f>
        <v/>
      </c>
      <c r="AC14">
        <f>IF(설문!AC23="","",IF(설문!AC23="시행",1,0))</f>
        <v/>
      </c>
      <c r="AD14">
        <f>IF(설문!AD23="","",IF(설문!AD23="시행",1,0))</f>
        <v/>
      </c>
      <c r="AE14">
        <f>IF(설문!AE23="","",IF(설문!AE23="시행",1,0))</f>
        <v/>
      </c>
      <c r="AF14">
        <f>IF(설문!AF23="","",IF(설문!AF23="시행",1,0))</f>
        <v/>
      </c>
      <c r="AG14">
        <f>IF(설문!AG23="","",IF(설문!AG23="시행",1,0))</f>
        <v/>
      </c>
      <c r="AH14">
        <f>IF(설문!AH23="","",IF(설문!AH23="시행",1,0))</f>
        <v/>
      </c>
      <c r="AI14">
        <f>IF(설문!AI23="","",IF(설문!AI23="시행",1,0))</f>
        <v/>
      </c>
      <c r="AJ14">
        <f>IF(설문!AJ23="","",IF(설문!AJ23="시행",1,0))</f>
        <v/>
      </c>
      <c r="AK14">
        <f>IF(설문!AK23="","",IF(설문!AK23="시행",1,0))</f>
        <v/>
      </c>
      <c r="AL14">
        <f>IF(설문!AL23="","",IF(설문!AL23="시행",1,0))</f>
        <v/>
      </c>
      <c r="AM14">
        <f>IF(설문!AM23="","",IF(설문!AM23="시행",1,0))</f>
        <v/>
      </c>
      <c r="AN14">
        <f>IF(설문!AN23="","",IF(설문!AN23="시행",1,0))</f>
        <v/>
      </c>
      <c r="AO14">
        <f>IF(설문!AO23="","",IF(설문!AO23="시행",1,0))</f>
        <v/>
      </c>
      <c r="AP14">
        <f>IF(설문!AP23="","",IF(설문!AP23="시행",1,0))</f>
        <v/>
      </c>
      <c r="AQ14">
        <f>IF(설문!AQ23="","",IF(설문!AQ23="시행",1,0))</f>
        <v/>
      </c>
      <c r="AR14">
        <f>IF(설문!AR23="","",IF(설문!AR23="시행",1,0))</f>
        <v/>
      </c>
      <c r="AS14">
        <f>IF(설문!AS23="","",IF(설문!AS23="시행",1,0))</f>
        <v/>
      </c>
      <c r="AT14">
        <f>IF(설문!AT23="","",IF(설문!AT23="시행",1,0))</f>
        <v/>
      </c>
      <c r="AU14">
        <f>IF(설문!AU23="","",IF(설문!AU23="시행",1,0))</f>
        <v/>
      </c>
      <c r="AV14">
        <f>IF(설문!AV23="","",IF(설문!AV23="시행",1,0))</f>
        <v/>
      </c>
      <c r="AW14">
        <f>IF(설문!AW23="","",IF(설문!AW23="시행",1,0))</f>
        <v/>
      </c>
      <c r="AX14">
        <f>IF(설문!AX23="","",IF(설문!AX23="시행",1,0))</f>
        <v/>
      </c>
      <c r="AY14">
        <f>IF(설문!AY23="","",IF(설문!AY23="시행",1,0))</f>
        <v/>
      </c>
      <c r="AZ14">
        <f>IF(설문!AZ23="","",IF(설문!AZ23="시행",1,0))</f>
        <v/>
      </c>
      <c r="BA14">
        <f>IF(설문!BA23="","",IF(설문!BA23="시행",1,0))</f>
        <v/>
      </c>
      <c r="BB14">
        <f>IF(설문!BB23="","",IF(설문!BB23="시행",1,0))</f>
        <v/>
      </c>
    </row>
    <row r="15">
      <c r="A15" s="16" t="inlineStr">
        <is>
          <t>Q17_2A</t>
        </is>
      </c>
      <c r="B15" s="16" t="inlineStr">
        <is>
          <t>활성화 1~5</t>
        </is>
      </c>
      <c r="E15">
        <f>IF(설문!E24="","",IFERROR(VALUE(설문!E24),""))</f>
        <v/>
      </c>
      <c r="F15">
        <f>IF(설문!F24="","",IFERROR(VALUE(설문!F24),""))</f>
        <v/>
      </c>
      <c r="G15">
        <f>IF(설문!G24="","",IFERROR(VALUE(설문!G24),""))</f>
        <v/>
      </c>
      <c r="H15">
        <f>IF(설문!H24="","",IFERROR(VALUE(설문!H24),""))</f>
        <v/>
      </c>
      <c r="I15">
        <f>IF(설문!I24="","",IFERROR(VALUE(설문!I24),""))</f>
        <v/>
      </c>
      <c r="J15">
        <f>IF(설문!J24="","",IFERROR(VALUE(설문!J24),""))</f>
        <v/>
      </c>
      <c r="K15">
        <f>IF(설문!K24="","",IFERROR(VALUE(설문!K24),""))</f>
        <v/>
      </c>
      <c r="L15">
        <f>IF(설문!L24="","",IFERROR(VALUE(설문!L24),""))</f>
        <v/>
      </c>
      <c r="M15">
        <f>IF(설문!M24="","",IFERROR(VALUE(설문!M24),""))</f>
        <v/>
      </c>
      <c r="N15">
        <f>IF(설문!N24="","",IFERROR(VALUE(설문!N24),""))</f>
        <v/>
      </c>
      <c r="O15">
        <f>IF(설문!O24="","",IFERROR(VALUE(설문!O24),""))</f>
        <v/>
      </c>
      <c r="P15">
        <f>IF(설문!P24="","",IFERROR(VALUE(설문!P24),""))</f>
        <v/>
      </c>
      <c r="Q15">
        <f>IF(설문!Q24="","",IFERROR(VALUE(설문!Q24),""))</f>
        <v/>
      </c>
      <c r="R15">
        <f>IF(설문!R24="","",IFERROR(VALUE(설문!R24),""))</f>
        <v/>
      </c>
      <c r="S15">
        <f>IF(설문!S24="","",IFERROR(VALUE(설문!S24),""))</f>
        <v/>
      </c>
      <c r="T15">
        <f>IF(설문!T24="","",IFERROR(VALUE(설문!T24),""))</f>
        <v/>
      </c>
      <c r="U15">
        <f>IF(설문!U24="","",IFERROR(VALUE(설문!U24),""))</f>
        <v/>
      </c>
      <c r="V15">
        <f>IF(설문!V24="","",IFERROR(VALUE(설문!V24),""))</f>
        <v/>
      </c>
      <c r="W15">
        <f>IF(설문!W24="","",IFERROR(VALUE(설문!W24),""))</f>
        <v/>
      </c>
      <c r="X15">
        <f>IF(설문!X24="","",IFERROR(VALUE(설문!X24),""))</f>
        <v/>
      </c>
      <c r="Y15">
        <f>IF(설문!Y24="","",IFERROR(VALUE(설문!Y24),""))</f>
        <v/>
      </c>
      <c r="Z15">
        <f>IF(설문!Z24="","",IFERROR(VALUE(설문!Z24),""))</f>
        <v/>
      </c>
      <c r="AA15">
        <f>IF(설문!AA24="","",IFERROR(VALUE(설문!AA24),""))</f>
        <v/>
      </c>
      <c r="AB15">
        <f>IF(설문!AB24="","",IFERROR(VALUE(설문!AB24),""))</f>
        <v/>
      </c>
      <c r="AC15">
        <f>IF(설문!AC24="","",IFERROR(VALUE(설문!AC24),""))</f>
        <v/>
      </c>
      <c r="AD15">
        <f>IF(설문!AD24="","",IFERROR(VALUE(설문!AD24),""))</f>
        <v/>
      </c>
      <c r="AE15">
        <f>IF(설문!AE24="","",IFERROR(VALUE(설문!AE24),""))</f>
        <v/>
      </c>
      <c r="AF15">
        <f>IF(설문!AF24="","",IFERROR(VALUE(설문!AF24),""))</f>
        <v/>
      </c>
      <c r="AG15">
        <f>IF(설문!AG24="","",IFERROR(VALUE(설문!AG24),""))</f>
        <v/>
      </c>
      <c r="AH15">
        <f>IF(설문!AH24="","",IFERROR(VALUE(설문!AH24),""))</f>
        <v/>
      </c>
      <c r="AI15">
        <f>IF(설문!AI24="","",IFERROR(VALUE(설문!AI24),""))</f>
        <v/>
      </c>
      <c r="AJ15">
        <f>IF(설문!AJ24="","",IFERROR(VALUE(설문!AJ24),""))</f>
        <v/>
      </c>
      <c r="AK15">
        <f>IF(설문!AK24="","",IFERROR(VALUE(설문!AK24),""))</f>
        <v/>
      </c>
      <c r="AL15">
        <f>IF(설문!AL24="","",IFERROR(VALUE(설문!AL24),""))</f>
        <v/>
      </c>
      <c r="AM15">
        <f>IF(설문!AM24="","",IFERROR(VALUE(설문!AM24),""))</f>
        <v/>
      </c>
      <c r="AN15">
        <f>IF(설문!AN24="","",IFERROR(VALUE(설문!AN24),""))</f>
        <v/>
      </c>
      <c r="AO15">
        <f>IF(설문!AO24="","",IFERROR(VALUE(설문!AO24),""))</f>
        <v/>
      </c>
      <c r="AP15">
        <f>IF(설문!AP24="","",IFERROR(VALUE(설문!AP24),""))</f>
        <v/>
      </c>
      <c r="AQ15">
        <f>IF(설문!AQ24="","",IFERROR(VALUE(설문!AQ24),""))</f>
        <v/>
      </c>
      <c r="AR15">
        <f>IF(설문!AR24="","",IFERROR(VALUE(설문!AR24),""))</f>
        <v/>
      </c>
      <c r="AS15">
        <f>IF(설문!AS24="","",IFERROR(VALUE(설문!AS24),""))</f>
        <v/>
      </c>
      <c r="AT15">
        <f>IF(설문!AT24="","",IFERROR(VALUE(설문!AT24),""))</f>
        <v/>
      </c>
      <c r="AU15">
        <f>IF(설문!AU24="","",IFERROR(VALUE(설문!AU24),""))</f>
        <v/>
      </c>
      <c r="AV15">
        <f>IF(설문!AV24="","",IFERROR(VALUE(설문!AV24),""))</f>
        <v/>
      </c>
      <c r="AW15">
        <f>IF(설문!AW24="","",IFERROR(VALUE(설문!AW24),""))</f>
        <v/>
      </c>
      <c r="AX15">
        <f>IF(설문!AX24="","",IFERROR(VALUE(설문!AX24),""))</f>
        <v/>
      </c>
      <c r="AY15">
        <f>IF(설문!AY24="","",IFERROR(VALUE(설문!AY24),""))</f>
        <v/>
      </c>
      <c r="AZ15">
        <f>IF(설문!AZ24="","",IFERROR(VALUE(설문!AZ24),""))</f>
        <v/>
      </c>
      <c r="BA15">
        <f>IF(설문!BA24="","",IFERROR(VALUE(설문!BA24),""))</f>
        <v/>
      </c>
      <c r="BB15">
        <f>IF(설문!BB24="","",IFERROR(VALUE(설문!BB24),""))</f>
        <v/>
      </c>
    </row>
    <row r="16">
      <c r="A16" s="16" t="inlineStr">
        <is>
          <t>Q17_3</t>
        </is>
      </c>
      <c r="B16" s="16" t="inlineStr">
        <is>
          <t>시행=1</t>
        </is>
      </c>
      <c r="E16">
        <f>IF(설문!E25="","",IF(설문!E25="시행",1,0))</f>
        <v/>
      </c>
      <c r="F16">
        <f>IF(설문!F25="","",IF(설문!F25="시행",1,0))</f>
        <v/>
      </c>
      <c r="G16">
        <f>IF(설문!G25="","",IF(설문!G25="시행",1,0))</f>
        <v/>
      </c>
      <c r="H16">
        <f>IF(설문!H25="","",IF(설문!H25="시행",1,0))</f>
        <v/>
      </c>
      <c r="I16">
        <f>IF(설문!I25="","",IF(설문!I25="시행",1,0))</f>
        <v/>
      </c>
      <c r="J16">
        <f>IF(설문!J25="","",IF(설문!J25="시행",1,0))</f>
        <v/>
      </c>
      <c r="K16">
        <f>IF(설문!K25="","",IF(설문!K25="시행",1,0))</f>
        <v/>
      </c>
      <c r="L16">
        <f>IF(설문!L25="","",IF(설문!L25="시행",1,0))</f>
        <v/>
      </c>
      <c r="M16">
        <f>IF(설문!M25="","",IF(설문!M25="시행",1,0))</f>
        <v/>
      </c>
      <c r="N16">
        <f>IF(설문!N25="","",IF(설문!N25="시행",1,0))</f>
        <v/>
      </c>
      <c r="O16">
        <f>IF(설문!O25="","",IF(설문!O25="시행",1,0))</f>
        <v/>
      </c>
      <c r="P16">
        <f>IF(설문!P25="","",IF(설문!P25="시행",1,0))</f>
        <v/>
      </c>
      <c r="Q16">
        <f>IF(설문!Q25="","",IF(설문!Q25="시행",1,0))</f>
        <v/>
      </c>
      <c r="R16">
        <f>IF(설문!R25="","",IF(설문!R25="시행",1,0))</f>
        <v/>
      </c>
      <c r="S16">
        <f>IF(설문!S25="","",IF(설문!S25="시행",1,0))</f>
        <v/>
      </c>
      <c r="T16">
        <f>IF(설문!T25="","",IF(설문!T25="시행",1,0))</f>
        <v/>
      </c>
      <c r="U16">
        <f>IF(설문!U25="","",IF(설문!U25="시행",1,0))</f>
        <v/>
      </c>
      <c r="V16">
        <f>IF(설문!V25="","",IF(설문!V25="시행",1,0))</f>
        <v/>
      </c>
      <c r="W16">
        <f>IF(설문!W25="","",IF(설문!W25="시행",1,0))</f>
        <v/>
      </c>
      <c r="X16">
        <f>IF(설문!X25="","",IF(설문!X25="시행",1,0))</f>
        <v/>
      </c>
      <c r="Y16">
        <f>IF(설문!Y25="","",IF(설문!Y25="시행",1,0))</f>
        <v/>
      </c>
      <c r="Z16">
        <f>IF(설문!Z25="","",IF(설문!Z25="시행",1,0))</f>
        <v/>
      </c>
      <c r="AA16">
        <f>IF(설문!AA25="","",IF(설문!AA25="시행",1,0))</f>
        <v/>
      </c>
      <c r="AB16">
        <f>IF(설문!AB25="","",IF(설문!AB25="시행",1,0))</f>
        <v/>
      </c>
      <c r="AC16">
        <f>IF(설문!AC25="","",IF(설문!AC25="시행",1,0))</f>
        <v/>
      </c>
      <c r="AD16">
        <f>IF(설문!AD25="","",IF(설문!AD25="시행",1,0))</f>
        <v/>
      </c>
      <c r="AE16">
        <f>IF(설문!AE25="","",IF(설문!AE25="시행",1,0))</f>
        <v/>
      </c>
      <c r="AF16">
        <f>IF(설문!AF25="","",IF(설문!AF25="시행",1,0))</f>
        <v/>
      </c>
      <c r="AG16">
        <f>IF(설문!AG25="","",IF(설문!AG25="시행",1,0))</f>
        <v/>
      </c>
      <c r="AH16">
        <f>IF(설문!AH25="","",IF(설문!AH25="시행",1,0))</f>
        <v/>
      </c>
      <c r="AI16">
        <f>IF(설문!AI25="","",IF(설문!AI25="시행",1,0))</f>
        <v/>
      </c>
      <c r="AJ16">
        <f>IF(설문!AJ25="","",IF(설문!AJ25="시행",1,0))</f>
        <v/>
      </c>
      <c r="AK16">
        <f>IF(설문!AK25="","",IF(설문!AK25="시행",1,0))</f>
        <v/>
      </c>
      <c r="AL16">
        <f>IF(설문!AL25="","",IF(설문!AL25="시행",1,0))</f>
        <v/>
      </c>
      <c r="AM16">
        <f>IF(설문!AM25="","",IF(설문!AM25="시행",1,0))</f>
        <v/>
      </c>
      <c r="AN16">
        <f>IF(설문!AN25="","",IF(설문!AN25="시행",1,0))</f>
        <v/>
      </c>
      <c r="AO16">
        <f>IF(설문!AO25="","",IF(설문!AO25="시행",1,0))</f>
        <v/>
      </c>
      <c r="AP16">
        <f>IF(설문!AP25="","",IF(설문!AP25="시행",1,0))</f>
        <v/>
      </c>
      <c r="AQ16">
        <f>IF(설문!AQ25="","",IF(설문!AQ25="시행",1,0))</f>
        <v/>
      </c>
      <c r="AR16">
        <f>IF(설문!AR25="","",IF(설문!AR25="시행",1,0))</f>
        <v/>
      </c>
      <c r="AS16">
        <f>IF(설문!AS25="","",IF(설문!AS25="시행",1,0))</f>
        <v/>
      </c>
      <c r="AT16">
        <f>IF(설문!AT25="","",IF(설문!AT25="시행",1,0))</f>
        <v/>
      </c>
      <c r="AU16">
        <f>IF(설문!AU25="","",IF(설문!AU25="시행",1,0))</f>
        <v/>
      </c>
      <c r="AV16">
        <f>IF(설문!AV25="","",IF(설문!AV25="시행",1,0))</f>
        <v/>
      </c>
      <c r="AW16">
        <f>IF(설문!AW25="","",IF(설문!AW25="시행",1,0))</f>
        <v/>
      </c>
      <c r="AX16">
        <f>IF(설문!AX25="","",IF(설문!AX25="시행",1,0))</f>
        <v/>
      </c>
      <c r="AY16">
        <f>IF(설문!AY25="","",IF(설문!AY25="시행",1,0))</f>
        <v/>
      </c>
      <c r="AZ16">
        <f>IF(설문!AZ25="","",IF(설문!AZ25="시행",1,0))</f>
        <v/>
      </c>
      <c r="BA16">
        <f>IF(설문!BA25="","",IF(설문!BA25="시행",1,0))</f>
        <v/>
      </c>
      <c r="BB16">
        <f>IF(설문!BB25="","",IF(설문!BB25="시행",1,0))</f>
        <v/>
      </c>
    </row>
    <row r="17">
      <c r="A17" s="16" t="inlineStr">
        <is>
          <t>Q17_3A</t>
        </is>
      </c>
      <c r="B17" s="16" t="inlineStr">
        <is>
          <t>활성화 1~5</t>
        </is>
      </c>
      <c r="E17">
        <f>IF(설문!E26="","",IFERROR(VALUE(설문!E26),""))</f>
        <v/>
      </c>
      <c r="F17">
        <f>IF(설문!F26="","",IFERROR(VALUE(설문!F26),""))</f>
        <v/>
      </c>
      <c r="G17">
        <f>IF(설문!G26="","",IFERROR(VALUE(설문!G26),""))</f>
        <v/>
      </c>
      <c r="H17">
        <f>IF(설문!H26="","",IFERROR(VALUE(설문!H26),""))</f>
        <v/>
      </c>
      <c r="I17">
        <f>IF(설문!I26="","",IFERROR(VALUE(설문!I26),""))</f>
        <v/>
      </c>
      <c r="J17">
        <f>IF(설문!J26="","",IFERROR(VALUE(설문!J26),""))</f>
        <v/>
      </c>
      <c r="K17">
        <f>IF(설문!K26="","",IFERROR(VALUE(설문!K26),""))</f>
        <v/>
      </c>
      <c r="L17">
        <f>IF(설문!L26="","",IFERROR(VALUE(설문!L26),""))</f>
        <v/>
      </c>
      <c r="M17">
        <f>IF(설문!M26="","",IFERROR(VALUE(설문!M26),""))</f>
        <v/>
      </c>
      <c r="N17">
        <f>IF(설문!N26="","",IFERROR(VALUE(설문!N26),""))</f>
        <v/>
      </c>
      <c r="O17">
        <f>IF(설문!O26="","",IFERROR(VALUE(설문!O26),""))</f>
        <v/>
      </c>
      <c r="P17">
        <f>IF(설문!P26="","",IFERROR(VALUE(설문!P26),""))</f>
        <v/>
      </c>
      <c r="Q17">
        <f>IF(설문!Q26="","",IFERROR(VALUE(설문!Q26),""))</f>
        <v/>
      </c>
      <c r="R17">
        <f>IF(설문!R26="","",IFERROR(VALUE(설문!R26),""))</f>
        <v/>
      </c>
      <c r="S17">
        <f>IF(설문!S26="","",IFERROR(VALUE(설문!S26),""))</f>
        <v/>
      </c>
      <c r="T17">
        <f>IF(설문!T26="","",IFERROR(VALUE(설문!T26),""))</f>
        <v/>
      </c>
      <c r="U17">
        <f>IF(설문!U26="","",IFERROR(VALUE(설문!U26),""))</f>
        <v/>
      </c>
      <c r="V17">
        <f>IF(설문!V26="","",IFERROR(VALUE(설문!V26),""))</f>
        <v/>
      </c>
      <c r="W17">
        <f>IF(설문!W26="","",IFERROR(VALUE(설문!W26),""))</f>
        <v/>
      </c>
      <c r="X17">
        <f>IF(설문!X26="","",IFERROR(VALUE(설문!X26),""))</f>
        <v/>
      </c>
      <c r="Y17">
        <f>IF(설문!Y26="","",IFERROR(VALUE(설문!Y26),""))</f>
        <v/>
      </c>
      <c r="Z17">
        <f>IF(설문!Z26="","",IFERROR(VALUE(설문!Z26),""))</f>
        <v/>
      </c>
      <c r="AA17">
        <f>IF(설문!AA26="","",IFERROR(VALUE(설문!AA26),""))</f>
        <v/>
      </c>
      <c r="AB17">
        <f>IF(설문!AB26="","",IFERROR(VALUE(설문!AB26),""))</f>
        <v/>
      </c>
      <c r="AC17">
        <f>IF(설문!AC26="","",IFERROR(VALUE(설문!AC26),""))</f>
        <v/>
      </c>
      <c r="AD17">
        <f>IF(설문!AD26="","",IFERROR(VALUE(설문!AD26),""))</f>
        <v/>
      </c>
      <c r="AE17">
        <f>IF(설문!AE26="","",IFERROR(VALUE(설문!AE26),""))</f>
        <v/>
      </c>
      <c r="AF17">
        <f>IF(설문!AF26="","",IFERROR(VALUE(설문!AF26),""))</f>
        <v/>
      </c>
      <c r="AG17">
        <f>IF(설문!AG26="","",IFERROR(VALUE(설문!AG26),""))</f>
        <v/>
      </c>
      <c r="AH17">
        <f>IF(설문!AH26="","",IFERROR(VALUE(설문!AH26),""))</f>
        <v/>
      </c>
      <c r="AI17">
        <f>IF(설문!AI26="","",IFERROR(VALUE(설문!AI26),""))</f>
        <v/>
      </c>
      <c r="AJ17">
        <f>IF(설문!AJ26="","",IFERROR(VALUE(설문!AJ26),""))</f>
        <v/>
      </c>
      <c r="AK17">
        <f>IF(설문!AK26="","",IFERROR(VALUE(설문!AK26),""))</f>
        <v/>
      </c>
      <c r="AL17">
        <f>IF(설문!AL26="","",IFERROR(VALUE(설문!AL26),""))</f>
        <v/>
      </c>
      <c r="AM17">
        <f>IF(설문!AM26="","",IFERROR(VALUE(설문!AM26),""))</f>
        <v/>
      </c>
      <c r="AN17">
        <f>IF(설문!AN26="","",IFERROR(VALUE(설문!AN26),""))</f>
        <v/>
      </c>
      <c r="AO17">
        <f>IF(설문!AO26="","",IFERROR(VALUE(설문!AO26),""))</f>
        <v/>
      </c>
      <c r="AP17">
        <f>IF(설문!AP26="","",IFERROR(VALUE(설문!AP26),""))</f>
        <v/>
      </c>
      <c r="AQ17">
        <f>IF(설문!AQ26="","",IFERROR(VALUE(설문!AQ26),""))</f>
        <v/>
      </c>
      <c r="AR17">
        <f>IF(설문!AR26="","",IFERROR(VALUE(설문!AR26),""))</f>
        <v/>
      </c>
      <c r="AS17">
        <f>IF(설문!AS26="","",IFERROR(VALUE(설문!AS26),""))</f>
        <v/>
      </c>
      <c r="AT17">
        <f>IF(설문!AT26="","",IFERROR(VALUE(설문!AT26),""))</f>
        <v/>
      </c>
      <c r="AU17">
        <f>IF(설문!AU26="","",IFERROR(VALUE(설문!AU26),""))</f>
        <v/>
      </c>
      <c r="AV17">
        <f>IF(설문!AV26="","",IFERROR(VALUE(설문!AV26),""))</f>
        <v/>
      </c>
      <c r="AW17">
        <f>IF(설문!AW26="","",IFERROR(VALUE(설문!AW26),""))</f>
        <v/>
      </c>
      <c r="AX17">
        <f>IF(설문!AX26="","",IFERROR(VALUE(설문!AX26),""))</f>
        <v/>
      </c>
      <c r="AY17">
        <f>IF(설문!AY26="","",IFERROR(VALUE(설문!AY26),""))</f>
        <v/>
      </c>
      <c r="AZ17">
        <f>IF(설문!AZ26="","",IFERROR(VALUE(설문!AZ26),""))</f>
        <v/>
      </c>
      <c r="BA17">
        <f>IF(설문!BA26="","",IFERROR(VALUE(설문!BA26),""))</f>
        <v/>
      </c>
      <c r="BB17">
        <f>IF(설문!BB26="","",IFERROR(VALUE(설문!BB26),""))</f>
        <v/>
      </c>
    </row>
    <row r="18">
      <c r="A18" s="16" t="inlineStr">
        <is>
          <t>Q17_4</t>
        </is>
      </c>
      <c r="B18" s="16" t="inlineStr">
        <is>
          <t>시행=1</t>
        </is>
      </c>
      <c r="E18">
        <f>IF(설문!E27="","",IF(설문!E27="시행",1,0))</f>
        <v/>
      </c>
      <c r="F18">
        <f>IF(설문!F27="","",IF(설문!F27="시행",1,0))</f>
        <v/>
      </c>
      <c r="G18">
        <f>IF(설문!G27="","",IF(설문!G27="시행",1,0))</f>
        <v/>
      </c>
      <c r="H18">
        <f>IF(설문!H27="","",IF(설문!H27="시행",1,0))</f>
        <v/>
      </c>
      <c r="I18">
        <f>IF(설문!I27="","",IF(설문!I27="시행",1,0))</f>
        <v/>
      </c>
      <c r="J18">
        <f>IF(설문!J27="","",IF(설문!J27="시행",1,0))</f>
        <v/>
      </c>
      <c r="K18">
        <f>IF(설문!K27="","",IF(설문!K27="시행",1,0))</f>
        <v/>
      </c>
      <c r="L18">
        <f>IF(설문!L27="","",IF(설문!L27="시행",1,0))</f>
        <v/>
      </c>
      <c r="M18">
        <f>IF(설문!M27="","",IF(설문!M27="시행",1,0))</f>
        <v/>
      </c>
      <c r="N18">
        <f>IF(설문!N27="","",IF(설문!N27="시행",1,0))</f>
        <v/>
      </c>
      <c r="O18">
        <f>IF(설문!O27="","",IF(설문!O27="시행",1,0))</f>
        <v/>
      </c>
      <c r="P18">
        <f>IF(설문!P27="","",IF(설문!P27="시행",1,0))</f>
        <v/>
      </c>
      <c r="Q18">
        <f>IF(설문!Q27="","",IF(설문!Q27="시행",1,0))</f>
        <v/>
      </c>
      <c r="R18">
        <f>IF(설문!R27="","",IF(설문!R27="시행",1,0))</f>
        <v/>
      </c>
      <c r="S18">
        <f>IF(설문!S27="","",IF(설문!S27="시행",1,0))</f>
        <v/>
      </c>
      <c r="T18">
        <f>IF(설문!T27="","",IF(설문!T27="시행",1,0))</f>
        <v/>
      </c>
      <c r="U18">
        <f>IF(설문!U27="","",IF(설문!U27="시행",1,0))</f>
        <v/>
      </c>
      <c r="V18">
        <f>IF(설문!V27="","",IF(설문!V27="시행",1,0))</f>
        <v/>
      </c>
      <c r="W18">
        <f>IF(설문!W27="","",IF(설문!W27="시행",1,0))</f>
        <v/>
      </c>
      <c r="X18">
        <f>IF(설문!X27="","",IF(설문!X27="시행",1,0))</f>
        <v/>
      </c>
      <c r="Y18">
        <f>IF(설문!Y27="","",IF(설문!Y27="시행",1,0))</f>
        <v/>
      </c>
      <c r="Z18">
        <f>IF(설문!Z27="","",IF(설문!Z27="시행",1,0))</f>
        <v/>
      </c>
      <c r="AA18">
        <f>IF(설문!AA27="","",IF(설문!AA27="시행",1,0))</f>
        <v/>
      </c>
      <c r="AB18">
        <f>IF(설문!AB27="","",IF(설문!AB27="시행",1,0))</f>
        <v/>
      </c>
      <c r="AC18">
        <f>IF(설문!AC27="","",IF(설문!AC27="시행",1,0))</f>
        <v/>
      </c>
      <c r="AD18">
        <f>IF(설문!AD27="","",IF(설문!AD27="시행",1,0))</f>
        <v/>
      </c>
      <c r="AE18">
        <f>IF(설문!AE27="","",IF(설문!AE27="시행",1,0))</f>
        <v/>
      </c>
      <c r="AF18">
        <f>IF(설문!AF27="","",IF(설문!AF27="시행",1,0))</f>
        <v/>
      </c>
      <c r="AG18">
        <f>IF(설문!AG27="","",IF(설문!AG27="시행",1,0))</f>
        <v/>
      </c>
      <c r="AH18">
        <f>IF(설문!AH27="","",IF(설문!AH27="시행",1,0))</f>
        <v/>
      </c>
      <c r="AI18">
        <f>IF(설문!AI27="","",IF(설문!AI27="시행",1,0))</f>
        <v/>
      </c>
      <c r="AJ18">
        <f>IF(설문!AJ27="","",IF(설문!AJ27="시행",1,0))</f>
        <v/>
      </c>
      <c r="AK18">
        <f>IF(설문!AK27="","",IF(설문!AK27="시행",1,0))</f>
        <v/>
      </c>
      <c r="AL18">
        <f>IF(설문!AL27="","",IF(설문!AL27="시행",1,0))</f>
        <v/>
      </c>
      <c r="AM18">
        <f>IF(설문!AM27="","",IF(설문!AM27="시행",1,0))</f>
        <v/>
      </c>
      <c r="AN18">
        <f>IF(설문!AN27="","",IF(설문!AN27="시행",1,0))</f>
        <v/>
      </c>
      <c r="AO18">
        <f>IF(설문!AO27="","",IF(설문!AO27="시행",1,0))</f>
        <v/>
      </c>
      <c r="AP18">
        <f>IF(설문!AP27="","",IF(설문!AP27="시행",1,0))</f>
        <v/>
      </c>
      <c r="AQ18">
        <f>IF(설문!AQ27="","",IF(설문!AQ27="시행",1,0))</f>
        <v/>
      </c>
      <c r="AR18">
        <f>IF(설문!AR27="","",IF(설문!AR27="시행",1,0))</f>
        <v/>
      </c>
      <c r="AS18">
        <f>IF(설문!AS27="","",IF(설문!AS27="시행",1,0))</f>
        <v/>
      </c>
      <c r="AT18">
        <f>IF(설문!AT27="","",IF(설문!AT27="시행",1,0))</f>
        <v/>
      </c>
      <c r="AU18">
        <f>IF(설문!AU27="","",IF(설문!AU27="시행",1,0))</f>
        <v/>
      </c>
      <c r="AV18">
        <f>IF(설문!AV27="","",IF(설문!AV27="시행",1,0))</f>
        <v/>
      </c>
      <c r="AW18">
        <f>IF(설문!AW27="","",IF(설문!AW27="시행",1,0))</f>
        <v/>
      </c>
      <c r="AX18">
        <f>IF(설문!AX27="","",IF(설문!AX27="시행",1,0))</f>
        <v/>
      </c>
      <c r="AY18">
        <f>IF(설문!AY27="","",IF(설문!AY27="시행",1,0))</f>
        <v/>
      </c>
      <c r="AZ18">
        <f>IF(설문!AZ27="","",IF(설문!AZ27="시행",1,0))</f>
        <v/>
      </c>
      <c r="BA18">
        <f>IF(설문!BA27="","",IF(설문!BA27="시행",1,0))</f>
        <v/>
      </c>
      <c r="BB18">
        <f>IF(설문!BB27="","",IF(설문!BB27="시행",1,0))</f>
        <v/>
      </c>
    </row>
    <row r="19">
      <c r="A19" s="16" t="inlineStr">
        <is>
          <t>Q17_4A</t>
        </is>
      </c>
      <c r="B19" s="16" t="inlineStr">
        <is>
          <t>활성화 1~5</t>
        </is>
      </c>
      <c r="E19">
        <f>IF(설문!E28="","",IFERROR(VALUE(설문!E28),""))</f>
        <v/>
      </c>
      <c r="F19">
        <f>IF(설문!F28="","",IFERROR(VALUE(설문!F28),""))</f>
        <v/>
      </c>
      <c r="G19">
        <f>IF(설문!G28="","",IFERROR(VALUE(설문!G28),""))</f>
        <v/>
      </c>
      <c r="H19">
        <f>IF(설문!H28="","",IFERROR(VALUE(설문!H28),""))</f>
        <v/>
      </c>
      <c r="I19">
        <f>IF(설문!I28="","",IFERROR(VALUE(설문!I28),""))</f>
        <v/>
      </c>
      <c r="J19">
        <f>IF(설문!J28="","",IFERROR(VALUE(설문!J28),""))</f>
        <v/>
      </c>
      <c r="K19">
        <f>IF(설문!K28="","",IFERROR(VALUE(설문!K28),""))</f>
        <v/>
      </c>
      <c r="L19">
        <f>IF(설문!L28="","",IFERROR(VALUE(설문!L28),""))</f>
        <v/>
      </c>
      <c r="M19">
        <f>IF(설문!M28="","",IFERROR(VALUE(설문!M28),""))</f>
        <v/>
      </c>
      <c r="N19">
        <f>IF(설문!N28="","",IFERROR(VALUE(설문!N28),""))</f>
        <v/>
      </c>
      <c r="O19">
        <f>IF(설문!O28="","",IFERROR(VALUE(설문!O28),""))</f>
        <v/>
      </c>
      <c r="P19">
        <f>IF(설문!P28="","",IFERROR(VALUE(설문!P28),""))</f>
        <v/>
      </c>
      <c r="Q19">
        <f>IF(설문!Q28="","",IFERROR(VALUE(설문!Q28),""))</f>
        <v/>
      </c>
      <c r="R19">
        <f>IF(설문!R28="","",IFERROR(VALUE(설문!R28),""))</f>
        <v/>
      </c>
      <c r="S19">
        <f>IF(설문!S28="","",IFERROR(VALUE(설문!S28),""))</f>
        <v/>
      </c>
      <c r="T19">
        <f>IF(설문!T28="","",IFERROR(VALUE(설문!T28),""))</f>
        <v/>
      </c>
      <c r="U19">
        <f>IF(설문!U28="","",IFERROR(VALUE(설문!U28),""))</f>
        <v/>
      </c>
      <c r="V19">
        <f>IF(설문!V28="","",IFERROR(VALUE(설문!V28),""))</f>
        <v/>
      </c>
      <c r="W19">
        <f>IF(설문!W28="","",IFERROR(VALUE(설문!W28),""))</f>
        <v/>
      </c>
      <c r="X19">
        <f>IF(설문!X28="","",IFERROR(VALUE(설문!X28),""))</f>
        <v/>
      </c>
      <c r="Y19">
        <f>IF(설문!Y28="","",IFERROR(VALUE(설문!Y28),""))</f>
        <v/>
      </c>
      <c r="Z19">
        <f>IF(설문!Z28="","",IFERROR(VALUE(설문!Z28),""))</f>
        <v/>
      </c>
      <c r="AA19">
        <f>IF(설문!AA28="","",IFERROR(VALUE(설문!AA28),""))</f>
        <v/>
      </c>
      <c r="AB19">
        <f>IF(설문!AB28="","",IFERROR(VALUE(설문!AB28),""))</f>
        <v/>
      </c>
      <c r="AC19">
        <f>IF(설문!AC28="","",IFERROR(VALUE(설문!AC28),""))</f>
        <v/>
      </c>
      <c r="AD19">
        <f>IF(설문!AD28="","",IFERROR(VALUE(설문!AD28),""))</f>
        <v/>
      </c>
      <c r="AE19">
        <f>IF(설문!AE28="","",IFERROR(VALUE(설문!AE28),""))</f>
        <v/>
      </c>
      <c r="AF19">
        <f>IF(설문!AF28="","",IFERROR(VALUE(설문!AF28),""))</f>
        <v/>
      </c>
      <c r="AG19">
        <f>IF(설문!AG28="","",IFERROR(VALUE(설문!AG28),""))</f>
        <v/>
      </c>
      <c r="AH19">
        <f>IF(설문!AH28="","",IFERROR(VALUE(설문!AH28),""))</f>
        <v/>
      </c>
      <c r="AI19">
        <f>IF(설문!AI28="","",IFERROR(VALUE(설문!AI28),""))</f>
        <v/>
      </c>
      <c r="AJ19">
        <f>IF(설문!AJ28="","",IFERROR(VALUE(설문!AJ28),""))</f>
        <v/>
      </c>
      <c r="AK19">
        <f>IF(설문!AK28="","",IFERROR(VALUE(설문!AK28),""))</f>
        <v/>
      </c>
      <c r="AL19">
        <f>IF(설문!AL28="","",IFERROR(VALUE(설문!AL28),""))</f>
        <v/>
      </c>
      <c r="AM19">
        <f>IF(설문!AM28="","",IFERROR(VALUE(설문!AM28),""))</f>
        <v/>
      </c>
      <c r="AN19">
        <f>IF(설문!AN28="","",IFERROR(VALUE(설문!AN28),""))</f>
        <v/>
      </c>
      <c r="AO19">
        <f>IF(설문!AO28="","",IFERROR(VALUE(설문!AO28),""))</f>
        <v/>
      </c>
      <c r="AP19">
        <f>IF(설문!AP28="","",IFERROR(VALUE(설문!AP28),""))</f>
        <v/>
      </c>
      <c r="AQ19">
        <f>IF(설문!AQ28="","",IFERROR(VALUE(설문!AQ28),""))</f>
        <v/>
      </c>
      <c r="AR19">
        <f>IF(설문!AR28="","",IFERROR(VALUE(설문!AR28),""))</f>
        <v/>
      </c>
      <c r="AS19">
        <f>IF(설문!AS28="","",IFERROR(VALUE(설문!AS28),""))</f>
        <v/>
      </c>
      <c r="AT19">
        <f>IF(설문!AT28="","",IFERROR(VALUE(설문!AT28),""))</f>
        <v/>
      </c>
      <c r="AU19">
        <f>IF(설문!AU28="","",IFERROR(VALUE(설문!AU28),""))</f>
        <v/>
      </c>
      <c r="AV19">
        <f>IF(설문!AV28="","",IFERROR(VALUE(설문!AV28),""))</f>
        <v/>
      </c>
      <c r="AW19">
        <f>IF(설문!AW28="","",IFERROR(VALUE(설문!AW28),""))</f>
        <v/>
      </c>
      <c r="AX19">
        <f>IF(설문!AX28="","",IFERROR(VALUE(설문!AX28),""))</f>
        <v/>
      </c>
      <c r="AY19">
        <f>IF(설문!AY28="","",IFERROR(VALUE(설문!AY28),""))</f>
        <v/>
      </c>
      <c r="AZ19">
        <f>IF(설문!AZ28="","",IFERROR(VALUE(설문!AZ28),""))</f>
        <v/>
      </c>
      <c r="BA19">
        <f>IF(설문!BA28="","",IFERROR(VALUE(설문!BA28),""))</f>
        <v/>
      </c>
      <c r="BB19">
        <f>IF(설문!BB28="","",IFERROR(VALUE(설문!BB28),""))</f>
        <v/>
      </c>
    </row>
    <row r="20">
      <c r="A20" s="16" t="inlineStr">
        <is>
          <t>Q17_5</t>
        </is>
      </c>
      <c r="B20" s="16" t="inlineStr">
        <is>
          <t>시행=1</t>
        </is>
      </c>
      <c r="E20">
        <f>IF(설문!E29="","",IF(설문!E29="시행",1,0))</f>
        <v/>
      </c>
      <c r="F20">
        <f>IF(설문!F29="","",IF(설문!F29="시행",1,0))</f>
        <v/>
      </c>
      <c r="G20">
        <f>IF(설문!G29="","",IF(설문!G29="시행",1,0))</f>
        <v/>
      </c>
      <c r="H20">
        <f>IF(설문!H29="","",IF(설문!H29="시행",1,0))</f>
        <v/>
      </c>
      <c r="I20">
        <f>IF(설문!I29="","",IF(설문!I29="시행",1,0))</f>
        <v/>
      </c>
      <c r="J20">
        <f>IF(설문!J29="","",IF(설문!J29="시행",1,0))</f>
        <v/>
      </c>
      <c r="K20">
        <f>IF(설문!K29="","",IF(설문!K29="시행",1,0))</f>
        <v/>
      </c>
      <c r="L20">
        <f>IF(설문!L29="","",IF(설문!L29="시행",1,0))</f>
        <v/>
      </c>
      <c r="M20">
        <f>IF(설문!M29="","",IF(설문!M29="시행",1,0))</f>
        <v/>
      </c>
      <c r="N20">
        <f>IF(설문!N29="","",IF(설문!N29="시행",1,0))</f>
        <v/>
      </c>
      <c r="O20">
        <f>IF(설문!O29="","",IF(설문!O29="시행",1,0))</f>
        <v/>
      </c>
      <c r="P20">
        <f>IF(설문!P29="","",IF(설문!P29="시행",1,0))</f>
        <v/>
      </c>
      <c r="Q20">
        <f>IF(설문!Q29="","",IF(설문!Q29="시행",1,0))</f>
        <v/>
      </c>
      <c r="R20">
        <f>IF(설문!R29="","",IF(설문!R29="시행",1,0))</f>
        <v/>
      </c>
      <c r="S20">
        <f>IF(설문!S29="","",IF(설문!S29="시행",1,0))</f>
        <v/>
      </c>
      <c r="T20">
        <f>IF(설문!T29="","",IF(설문!T29="시행",1,0))</f>
        <v/>
      </c>
      <c r="U20">
        <f>IF(설문!U29="","",IF(설문!U29="시행",1,0))</f>
        <v/>
      </c>
      <c r="V20">
        <f>IF(설문!V29="","",IF(설문!V29="시행",1,0))</f>
        <v/>
      </c>
      <c r="W20">
        <f>IF(설문!W29="","",IF(설문!W29="시행",1,0))</f>
        <v/>
      </c>
      <c r="X20">
        <f>IF(설문!X29="","",IF(설문!X29="시행",1,0))</f>
        <v/>
      </c>
      <c r="Y20">
        <f>IF(설문!Y29="","",IF(설문!Y29="시행",1,0))</f>
        <v/>
      </c>
      <c r="Z20">
        <f>IF(설문!Z29="","",IF(설문!Z29="시행",1,0))</f>
        <v/>
      </c>
      <c r="AA20">
        <f>IF(설문!AA29="","",IF(설문!AA29="시행",1,0))</f>
        <v/>
      </c>
      <c r="AB20">
        <f>IF(설문!AB29="","",IF(설문!AB29="시행",1,0))</f>
        <v/>
      </c>
      <c r="AC20">
        <f>IF(설문!AC29="","",IF(설문!AC29="시행",1,0))</f>
        <v/>
      </c>
      <c r="AD20">
        <f>IF(설문!AD29="","",IF(설문!AD29="시행",1,0))</f>
        <v/>
      </c>
      <c r="AE20">
        <f>IF(설문!AE29="","",IF(설문!AE29="시행",1,0))</f>
        <v/>
      </c>
      <c r="AF20">
        <f>IF(설문!AF29="","",IF(설문!AF29="시행",1,0))</f>
        <v/>
      </c>
      <c r="AG20">
        <f>IF(설문!AG29="","",IF(설문!AG29="시행",1,0))</f>
        <v/>
      </c>
      <c r="AH20">
        <f>IF(설문!AH29="","",IF(설문!AH29="시행",1,0))</f>
        <v/>
      </c>
      <c r="AI20">
        <f>IF(설문!AI29="","",IF(설문!AI29="시행",1,0))</f>
        <v/>
      </c>
      <c r="AJ20">
        <f>IF(설문!AJ29="","",IF(설문!AJ29="시행",1,0))</f>
        <v/>
      </c>
      <c r="AK20">
        <f>IF(설문!AK29="","",IF(설문!AK29="시행",1,0))</f>
        <v/>
      </c>
      <c r="AL20">
        <f>IF(설문!AL29="","",IF(설문!AL29="시행",1,0))</f>
        <v/>
      </c>
      <c r="AM20">
        <f>IF(설문!AM29="","",IF(설문!AM29="시행",1,0))</f>
        <v/>
      </c>
      <c r="AN20">
        <f>IF(설문!AN29="","",IF(설문!AN29="시행",1,0))</f>
        <v/>
      </c>
      <c r="AO20">
        <f>IF(설문!AO29="","",IF(설문!AO29="시행",1,0))</f>
        <v/>
      </c>
      <c r="AP20">
        <f>IF(설문!AP29="","",IF(설문!AP29="시행",1,0))</f>
        <v/>
      </c>
      <c r="AQ20">
        <f>IF(설문!AQ29="","",IF(설문!AQ29="시행",1,0))</f>
        <v/>
      </c>
      <c r="AR20">
        <f>IF(설문!AR29="","",IF(설문!AR29="시행",1,0))</f>
        <v/>
      </c>
      <c r="AS20">
        <f>IF(설문!AS29="","",IF(설문!AS29="시행",1,0))</f>
        <v/>
      </c>
      <c r="AT20">
        <f>IF(설문!AT29="","",IF(설문!AT29="시행",1,0))</f>
        <v/>
      </c>
      <c r="AU20">
        <f>IF(설문!AU29="","",IF(설문!AU29="시행",1,0))</f>
        <v/>
      </c>
      <c r="AV20">
        <f>IF(설문!AV29="","",IF(설문!AV29="시행",1,0))</f>
        <v/>
      </c>
      <c r="AW20">
        <f>IF(설문!AW29="","",IF(설문!AW29="시행",1,0))</f>
        <v/>
      </c>
      <c r="AX20">
        <f>IF(설문!AX29="","",IF(설문!AX29="시행",1,0))</f>
        <v/>
      </c>
      <c r="AY20">
        <f>IF(설문!AY29="","",IF(설문!AY29="시행",1,0))</f>
        <v/>
      </c>
      <c r="AZ20">
        <f>IF(설문!AZ29="","",IF(설문!AZ29="시행",1,0))</f>
        <v/>
      </c>
      <c r="BA20">
        <f>IF(설문!BA29="","",IF(설문!BA29="시행",1,0))</f>
        <v/>
      </c>
      <c r="BB20">
        <f>IF(설문!BB29="","",IF(설문!BB29="시행",1,0))</f>
        <v/>
      </c>
    </row>
    <row r="21">
      <c r="A21" s="16" t="inlineStr">
        <is>
          <t>Q17_5A</t>
        </is>
      </c>
      <c r="B21" s="16" t="inlineStr">
        <is>
          <t>활성화 1~5</t>
        </is>
      </c>
      <c r="E21">
        <f>IF(설문!E30="","",IFERROR(VALUE(설문!E30),""))</f>
        <v/>
      </c>
      <c r="F21">
        <f>IF(설문!F30="","",IFERROR(VALUE(설문!F30),""))</f>
        <v/>
      </c>
      <c r="G21">
        <f>IF(설문!G30="","",IFERROR(VALUE(설문!G30),""))</f>
        <v/>
      </c>
      <c r="H21">
        <f>IF(설문!H30="","",IFERROR(VALUE(설문!H30),""))</f>
        <v/>
      </c>
      <c r="I21">
        <f>IF(설문!I30="","",IFERROR(VALUE(설문!I30),""))</f>
        <v/>
      </c>
      <c r="J21">
        <f>IF(설문!J30="","",IFERROR(VALUE(설문!J30),""))</f>
        <v/>
      </c>
      <c r="K21">
        <f>IF(설문!K30="","",IFERROR(VALUE(설문!K30),""))</f>
        <v/>
      </c>
      <c r="L21">
        <f>IF(설문!L30="","",IFERROR(VALUE(설문!L30),""))</f>
        <v/>
      </c>
      <c r="M21">
        <f>IF(설문!M30="","",IFERROR(VALUE(설문!M30),""))</f>
        <v/>
      </c>
      <c r="N21">
        <f>IF(설문!N30="","",IFERROR(VALUE(설문!N30),""))</f>
        <v/>
      </c>
      <c r="O21">
        <f>IF(설문!O30="","",IFERROR(VALUE(설문!O30),""))</f>
        <v/>
      </c>
      <c r="P21">
        <f>IF(설문!P30="","",IFERROR(VALUE(설문!P30),""))</f>
        <v/>
      </c>
      <c r="Q21">
        <f>IF(설문!Q30="","",IFERROR(VALUE(설문!Q30),""))</f>
        <v/>
      </c>
      <c r="R21">
        <f>IF(설문!R30="","",IFERROR(VALUE(설문!R30),""))</f>
        <v/>
      </c>
      <c r="S21">
        <f>IF(설문!S30="","",IFERROR(VALUE(설문!S30),""))</f>
        <v/>
      </c>
      <c r="T21">
        <f>IF(설문!T30="","",IFERROR(VALUE(설문!T30),""))</f>
        <v/>
      </c>
      <c r="U21">
        <f>IF(설문!U30="","",IFERROR(VALUE(설문!U30),""))</f>
        <v/>
      </c>
      <c r="V21">
        <f>IF(설문!V30="","",IFERROR(VALUE(설문!V30),""))</f>
        <v/>
      </c>
      <c r="W21">
        <f>IF(설문!W30="","",IFERROR(VALUE(설문!W30),""))</f>
        <v/>
      </c>
      <c r="X21">
        <f>IF(설문!X30="","",IFERROR(VALUE(설문!X30),""))</f>
        <v/>
      </c>
      <c r="Y21">
        <f>IF(설문!Y30="","",IFERROR(VALUE(설문!Y30),""))</f>
        <v/>
      </c>
      <c r="Z21">
        <f>IF(설문!Z30="","",IFERROR(VALUE(설문!Z30),""))</f>
        <v/>
      </c>
      <c r="AA21">
        <f>IF(설문!AA30="","",IFERROR(VALUE(설문!AA30),""))</f>
        <v/>
      </c>
      <c r="AB21">
        <f>IF(설문!AB30="","",IFERROR(VALUE(설문!AB30),""))</f>
        <v/>
      </c>
      <c r="AC21">
        <f>IF(설문!AC30="","",IFERROR(VALUE(설문!AC30),""))</f>
        <v/>
      </c>
      <c r="AD21">
        <f>IF(설문!AD30="","",IFERROR(VALUE(설문!AD30),""))</f>
        <v/>
      </c>
      <c r="AE21">
        <f>IF(설문!AE30="","",IFERROR(VALUE(설문!AE30),""))</f>
        <v/>
      </c>
      <c r="AF21">
        <f>IF(설문!AF30="","",IFERROR(VALUE(설문!AF30),""))</f>
        <v/>
      </c>
      <c r="AG21">
        <f>IF(설문!AG30="","",IFERROR(VALUE(설문!AG30),""))</f>
        <v/>
      </c>
      <c r="AH21">
        <f>IF(설문!AH30="","",IFERROR(VALUE(설문!AH30),""))</f>
        <v/>
      </c>
      <c r="AI21">
        <f>IF(설문!AI30="","",IFERROR(VALUE(설문!AI30),""))</f>
        <v/>
      </c>
      <c r="AJ21">
        <f>IF(설문!AJ30="","",IFERROR(VALUE(설문!AJ30),""))</f>
        <v/>
      </c>
      <c r="AK21">
        <f>IF(설문!AK30="","",IFERROR(VALUE(설문!AK30),""))</f>
        <v/>
      </c>
      <c r="AL21">
        <f>IF(설문!AL30="","",IFERROR(VALUE(설문!AL30),""))</f>
        <v/>
      </c>
      <c r="AM21">
        <f>IF(설문!AM30="","",IFERROR(VALUE(설문!AM30),""))</f>
        <v/>
      </c>
      <c r="AN21">
        <f>IF(설문!AN30="","",IFERROR(VALUE(설문!AN30),""))</f>
        <v/>
      </c>
      <c r="AO21">
        <f>IF(설문!AO30="","",IFERROR(VALUE(설문!AO30),""))</f>
        <v/>
      </c>
      <c r="AP21">
        <f>IF(설문!AP30="","",IFERROR(VALUE(설문!AP30),""))</f>
        <v/>
      </c>
      <c r="AQ21">
        <f>IF(설문!AQ30="","",IFERROR(VALUE(설문!AQ30),""))</f>
        <v/>
      </c>
      <c r="AR21">
        <f>IF(설문!AR30="","",IFERROR(VALUE(설문!AR30),""))</f>
        <v/>
      </c>
      <c r="AS21">
        <f>IF(설문!AS30="","",IFERROR(VALUE(설문!AS30),""))</f>
        <v/>
      </c>
      <c r="AT21">
        <f>IF(설문!AT30="","",IFERROR(VALUE(설문!AT30),""))</f>
        <v/>
      </c>
      <c r="AU21">
        <f>IF(설문!AU30="","",IFERROR(VALUE(설문!AU30),""))</f>
        <v/>
      </c>
      <c r="AV21">
        <f>IF(설문!AV30="","",IFERROR(VALUE(설문!AV30),""))</f>
        <v/>
      </c>
      <c r="AW21">
        <f>IF(설문!AW30="","",IFERROR(VALUE(설문!AW30),""))</f>
        <v/>
      </c>
      <c r="AX21">
        <f>IF(설문!AX30="","",IFERROR(VALUE(설문!AX30),""))</f>
        <v/>
      </c>
      <c r="AY21">
        <f>IF(설문!AY30="","",IFERROR(VALUE(설문!AY30),""))</f>
        <v/>
      </c>
      <c r="AZ21">
        <f>IF(설문!AZ30="","",IFERROR(VALUE(설문!AZ30),""))</f>
        <v/>
      </c>
      <c r="BA21">
        <f>IF(설문!BA30="","",IFERROR(VALUE(설문!BA30),""))</f>
        <v/>
      </c>
      <c r="BB21">
        <f>IF(설문!BB30="","",IFERROR(VALUE(설문!BB30),""))</f>
        <v/>
      </c>
    </row>
    <row r="22">
      <c r="A22" s="16" t="inlineStr">
        <is>
          <t>Q18_1</t>
        </is>
      </c>
      <c r="B22" s="16" t="inlineStr">
        <is>
          <t>발생=1</t>
        </is>
      </c>
      <c r="E22">
        <f>IF(설문!E32="","",IF(설문!E32="발생",1,0))</f>
        <v/>
      </c>
      <c r="F22">
        <f>IF(설문!F32="","",IF(설문!F32="발생",1,0))</f>
        <v/>
      </c>
      <c r="G22">
        <f>IF(설문!G32="","",IF(설문!G32="발생",1,0))</f>
        <v/>
      </c>
      <c r="H22">
        <f>IF(설문!H32="","",IF(설문!H32="발생",1,0))</f>
        <v/>
      </c>
      <c r="I22">
        <f>IF(설문!I32="","",IF(설문!I32="발생",1,0))</f>
        <v/>
      </c>
      <c r="J22">
        <f>IF(설문!J32="","",IF(설문!J32="발생",1,0))</f>
        <v/>
      </c>
      <c r="K22">
        <f>IF(설문!K32="","",IF(설문!K32="발생",1,0))</f>
        <v/>
      </c>
      <c r="L22">
        <f>IF(설문!L32="","",IF(설문!L32="발생",1,0))</f>
        <v/>
      </c>
      <c r="M22">
        <f>IF(설문!M32="","",IF(설문!M32="발생",1,0))</f>
        <v/>
      </c>
      <c r="N22">
        <f>IF(설문!N32="","",IF(설문!N32="발생",1,0))</f>
        <v/>
      </c>
      <c r="O22">
        <f>IF(설문!O32="","",IF(설문!O32="발생",1,0))</f>
        <v/>
      </c>
      <c r="P22">
        <f>IF(설문!P32="","",IF(설문!P32="발생",1,0))</f>
        <v/>
      </c>
      <c r="Q22">
        <f>IF(설문!Q32="","",IF(설문!Q32="발생",1,0))</f>
        <v/>
      </c>
      <c r="R22">
        <f>IF(설문!R32="","",IF(설문!R32="발생",1,0))</f>
        <v/>
      </c>
      <c r="S22">
        <f>IF(설문!S32="","",IF(설문!S32="발생",1,0))</f>
        <v/>
      </c>
      <c r="T22">
        <f>IF(설문!T32="","",IF(설문!T32="발생",1,0))</f>
        <v/>
      </c>
      <c r="U22">
        <f>IF(설문!U32="","",IF(설문!U32="발생",1,0))</f>
        <v/>
      </c>
      <c r="V22">
        <f>IF(설문!V32="","",IF(설문!V32="발생",1,0))</f>
        <v/>
      </c>
      <c r="W22">
        <f>IF(설문!W32="","",IF(설문!W32="발생",1,0))</f>
        <v/>
      </c>
      <c r="X22">
        <f>IF(설문!X32="","",IF(설문!X32="발생",1,0))</f>
        <v/>
      </c>
      <c r="Y22">
        <f>IF(설문!Y32="","",IF(설문!Y32="발생",1,0))</f>
        <v/>
      </c>
      <c r="Z22">
        <f>IF(설문!Z32="","",IF(설문!Z32="발생",1,0))</f>
        <v/>
      </c>
      <c r="AA22">
        <f>IF(설문!AA32="","",IF(설문!AA32="발생",1,0))</f>
        <v/>
      </c>
      <c r="AB22">
        <f>IF(설문!AB32="","",IF(설문!AB32="발생",1,0))</f>
        <v/>
      </c>
      <c r="AC22">
        <f>IF(설문!AC32="","",IF(설문!AC32="발생",1,0))</f>
        <v/>
      </c>
      <c r="AD22">
        <f>IF(설문!AD32="","",IF(설문!AD32="발생",1,0))</f>
        <v/>
      </c>
      <c r="AE22">
        <f>IF(설문!AE32="","",IF(설문!AE32="발생",1,0))</f>
        <v/>
      </c>
      <c r="AF22">
        <f>IF(설문!AF32="","",IF(설문!AF32="발생",1,0))</f>
        <v/>
      </c>
      <c r="AG22">
        <f>IF(설문!AG32="","",IF(설문!AG32="발생",1,0))</f>
        <v/>
      </c>
      <c r="AH22">
        <f>IF(설문!AH32="","",IF(설문!AH32="발생",1,0))</f>
        <v/>
      </c>
      <c r="AI22">
        <f>IF(설문!AI32="","",IF(설문!AI32="발생",1,0))</f>
        <v/>
      </c>
      <c r="AJ22">
        <f>IF(설문!AJ32="","",IF(설문!AJ32="발생",1,0))</f>
        <v/>
      </c>
      <c r="AK22">
        <f>IF(설문!AK32="","",IF(설문!AK32="발생",1,0))</f>
        <v/>
      </c>
      <c r="AL22">
        <f>IF(설문!AL32="","",IF(설문!AL32="발생",1,0))</f>
        <v/>
      </c>
      <c r="AM22">
        <f>IF(설문!AM32="","",IF(설문!AM32="발생",1,0))</f>
        <v/>
      </c>
      <c r="AN22">
        <f>IF(설문!AN32="","",IF(설문!AN32="발생",1,0))</f>
        <v/>
      </c>
      <c r="AO22">
        <f>IF(설문!AO32="","",IF(설문!AO32="발생",1,0))</f>
        <v/>
      </c>
      <c r="AP22">
        <f>IF(설문!AP32="","",IF(설문!AP32="발생",1,0))</f>
        <v/>
      </c>
      <c r="AQ22">
        <f>IF(설문!AQ32="","",IF(설문!AQ32="발생",1,0))</f>
        <v/>
      </c>
      <c r="AR22">
        <f>IF(설문!AR32="","",IF(설문!AR32="발생",1,0))</f>
        <v/>
      </c>
      <c r="AS22">
        <f>IF(설문!AS32="","",IF(설문!AS32="발생",1,0))</f>
        <v/>
      </c>
      <c r="AT22">
        <f>IF(설문!AT32="","",IF(설문!AT32="발생",1,0))</f>
        <v/>
      </c>
      <c r="AU22">
        <f>IF(설문!AU32="","",IF(설문!AU32="발생",1,0))</f>
        <v/>
      </c>
      <c r="AV22">
        <f>IF(설문!AV32="","",IF(설문!AV32="발생",1,0))</f>
        <v/>
      </c>
      <c r="AW22">
        <f>IF(설문!AW32="","",IF(설문!AW32="발생",1,0))</f>
        <v/>
      </c>
      <c r="AX22">
        <f>IF(설문!AX32="","",IF(설문!AX32="발생",1,0))</f>
        <v/>
      </c>
      <c r="AY22">
        <f>IF(설문!AY32="","",IF(설문!AY32="발생",1,0))</f>
        <v/>
      </c>
      <c r="AZ22">
        <f>IF(설문!AZ32="","",IF(설문!AZ32="발생",1,0))</f>
        <v/>
      </c>
      <c r="BA22">
        <f>IF(설문!BA32="","",IF(설문!BA32="발생",1,0))</f>
        <v/>
      </c>
      <c r="BB22">
        <f>IF(설문!BB32="","",IF(설문!BB32="발생",1,0))</f>
        <v/>
      </c>
    </row>
    <row r="23">
      <c r="A23" s="16" t="inlineStr">
        <is>
          <t>Q18_2</t>
        </is>
      </c>
      <c r="B23" s="16" t="inlineStr">
        <is>
          <t>발생=1</t>
        </is>
      </c>
      <c r="E23">
        <f>IF(설문!E33="","",IF(설문!E33="발생",1,0))</f>
        <v/>
      </c>
      <c r="F23">
        <f>IF(설문!F33="","",IF(설문!F33="발생",1,0))</f>
        <v/>
      </c>
      <c r="G23">
        <f>IF(설문!G33="","",IF(설문!G33="발생",1,0))</f>
        <v/>
      </c>
      <c r="H23">
        <f>IF(설문!H33="","",IF(설문!H33="발생",1,0))</f>
        <v/>
      </c>
      <c r="I23">
        <f>IF(설문!I33="","",IF(설문!I33="발생",1,0))</f>
        <v/>
      </c>
      <c r="J23">
        <f>IF(설문!J33="","",IF(설문!J33="발생",1,0))</f>
        <v/>
      </c>
      <c r="K23">
        <f>IF(설문!K33="","",IF(설문!K33="발생",1,0))</f>
        <v/>
      </c>
      <c r="L23">
        <f>IF(설문!L33="","",IF(설문!L33="발생",1,0))</f>
        <v/>
      </c>
      <c r="M23">
        <f>IF(설문!M33="","",IF(설문!M33="발생",1,0))</f>
        <v/>
      </c>
      <c r="N23">
        <f>IF(설문!N33="","",IF(설문!N33="발생",1,0))</f>
        <v/>
      </c>
      <c r="O23">
        <f>IF(설문!O33="","",IF(설문!O33="발생",1,0))</f>
        <v/>
      </c>
      <c r="P23">
        <f>IF(설문!P33="","",IF(설문!P33="발생",1,0))</f>
        <v/>
      </c>
      <c r="Q23">
        <f>IF(설문!Q33="","",IF(설문!Q33="발생",1,0))</f>
        <v/>
      </c>
      <c r="R23">
        <f>IF(설문!R33="","",IF(설문!R33="발생",1,0))</f>
        <v/>
      </c>
      <c r="S23">
        <f>IF(설문!S33="","",IF(설문!S33="발생",1,0))</f>
        <v/>
      </c>
      <c r="T23">
        <f>IF(설문!T33="","",IF(설문!T33="발생",1,0))</f>
        <v/>
      </c>
      <c r="U23">
        <f>IF(설문!U33="","",IF(설문!U33="발생",1,0))</f>
        <v/>
      </c>
      <c r="V23">
        <f>IF(설문!V33="","",IF(설문!V33="발생",1,0))</f>
        <v/>
      </c>
      <c r="W23">
        <f>IF(설문!W33="","",IF(설문!W33="발생",1,0))</f>
        <v/>
      </c>
      <c r="X23">
        <f>IF(설문!X33="","",IF(설문!X33="발생",1,0))</f>
        <v/>
      </c>
      <c r="Y23">
        <f>IF(설문!Y33="","",IF(설문!Y33="발생",1,0))</f>
        <v/>
      </c>
      <c r="Z23">
        <f>IF(설문!Z33="","",IF(설문!Z33="발생",1,0))</f>
        <v/>
      </c>
      <c r="AA23">
        <f>IF(설문!AA33="","",IF(설문!AA33="발생",1,0))</f>
        <v/>
      </c>
      <c r="AB23">
        <f>IF(설문!AB33="","",IF(설문!AB33="발생",1,0))</f>
        <v/>
      </c>
      <c r="AC23">
        <f>IF(설문!AC33="","",IF(설문!AC33="발생",1,0))</f>
        <v/>
      </c>
      <c r="AD23">
        <f>IF(설문!AD33="","",IF(설문!AD33="발생",1,0))</f>
        <v/>
      </c>
      <c r="AE23">
        <f>IF(설문!AE33="","",IF(설문!AE33="발생",1,0))</f>
        <v/>
      </c>
      <c r="AF23">
        <f>IF(설문!AF33="","",IF(설문!AF33="발생",1,0))</f>
        <v/>
      </c>
      <c r="AG23">
        <f>IF(설문!AG33="","",IF(설문!AG33="발생",1,0))</f>
        <v/>
      </c>
      <c r="AH23">
        <f>IF(설문!AH33="","",IF(설문!AH33="발생",1,0))</f>
        <v/>
      </c>
      <c r="AI23">
        <f>IF(설문!AI33="","",IF(설문!AI33="발생",1,0))</f>
        <v/>
      </c>
      <c r="AJ23">
        <f>IF(설문!AJ33="","",IF(설문!AJ33="발생",1,0))</f>
        <v/>
      </c>
      <c r="AK23">
        <f>IF(설문!AK33="","",IF(설문!AK33="발생",1,0))</f>
        <v/>
      </c>
      <c r="AL23">
        <f>IF(설문!AL33="","",IF(설문!AL33="발생",1,0))</f>
        <v/>
      </c>
      <c r="AM23">
        <f>IF(설문!AM33="","",IF(설문!AM33="발생",1,0))</f>
        <v/>
      </c>
      <c r="AN23">
        <f>IF(설문!AN33="","",IF(설문!AN33="발생",1,0))</f>
        <v/>
      </c>
      <c r="AO23">
        <f>IF(설문!AO33="","",IF(설문!AO33="발생",1,0))</f>
        <v/>
      </c>
      <c r="AP23">
        <f>IF(설문!AP33="","",IF(설문!AP33="발생",1,0))</f>
        <v/>
      </c>
      <c r="AQ23">
        <f>IF(설문!AQ33="","",IF(설문!AQ33="발생",1,0))</f>
        <v/>
      </c>
      <c r="AR23">
        <f>IF(설문!AR33="","",IF(설문!AR33="발생",1,0))</f>
        <v/>
      </c>
      <c r="AS23">
        <f>IF(설문!AS33="","",IF(설문!AS33="발생",1,0))</f>
        <v/>
      </c>
      <c r="AT23">
        <f>IF(설문!AT33="","",IF(설문!AT33="발생",1,0))</f>
        <v/>
      </c>
      <c r="AU23">
        <f>IF(설문!AU33="","",IF(설문!AU33="발생",1,0))</f>
        <v/>
      </c>
      <c r="AV23">
        <f>IF(설문!AV33="","",IF(설문!AV33="발생",1,0))</f>
        <v/>
      </c>
      <c r="AW23">
        <f>IF(설문!AW33="","",IF(설문!AW33="발생",1,0))</f>
        <v/>
      </c>
      <c r="AX23">
        <f>IF(설문!AX33="","",IF(설문!AX33="발생",1,0))</f>
        <v/>
      </c>
      <c r="AY23">
        <f>IF(설문!AY33="","",IF(설문!AY33="발생",1,0))</f>
        <v/>
      </c>
      <c r="AZ23">
        <f>IF(설문!AZ33="","",IF(설문!AZ33="발생",1,0))</f>
        <v/>
      </c>
      <c r="BA23">
        <f>IF(설문!BA33="","",IF(설문!BA33="발생",1,0))</f>
        <v/>
      </c>
      <c r="BB23">
        <f>IF(설문!BB33="","",IF(설문!BB33="발생",1,0))</f>
        <v/>
      </c>
    </row>
    <row r="24">
      <c r="A24" s="16" t="inlineStr">
        <is>
          <t>Q18_3</t>
        </is>
      </c>
      <c r="B24" s="16" t="inlineStr">
        <is>
          <t>발생=1</t>
        </is>
      </c>
      <c r="E24">
        <f>IF(설문!E34="","",IF(설문!E34="발생",1,0))</f>
        <v/>
      </c>
      <c r="F24">
        <f>IF(설문!F34="","",IF(설문!F34="발생",1,0))</f>
        <v/>
      </c>
      <c r="G24">
        <f>IF(설문!G34="","",IF(설문!G34="발생",1,0))</f>
        <v/>
      </c>
      <c r="H24">
        <f>IF(설문!H34="","",IF(설문!H34="발생",1,0))</f>
        <v/>
      </c>
      <c r="I24">
        <f>IF(설문!I34="","",IF(설문!I34="발생",1,0))</f>
        <v/>
      </c>
      <c r="J24">
        <f>IF(설문!J34="","",IF(설문!J34="발생",1,0))</f>
        <v/>
      </c>
      <c r="K24">
        <f>IF(설문!K34="","",IF(설문!K34="발생",1,0))</f>
        <v/>
      </c>
      <c r="L24">
        <f>IF(설문!L34="","",IF(설문!L34="발생",1,0))</f>
        <v/>
      </c>
      <c r="M24">
        <f>IF(설문!M34="","",IF(설문!M34="발생",1,0))</f>
        <v/>
      </c>
      <c r="N24">
        <f>IF(설문!N34="","",IF(설문!N34="발생",1,0))</f>
        <v/>
      </c>
      <c r="O24">
        <f>IF(설문!O34="","",IF(설문!O34="발생",1,0))</f>
        <v/>
      </c>
      <c r="P24">
        <f>IF(설문!P34="","",IF(설문!P34="발생",1,0))</f>
        <v/>
      </c>
      <c r="Q24">
        <f>IF(설문!Q34="","",IF(설문!Q34="발생",1,0))</f>
        <v/>
      </c>
      <c r="R24">
        <f>IF(설문!R34="","",IF(설문!R34="발생",1,0))</f>
        <v/>
      </c>
      <c r="S24">
        <f>IF(설문!S34="","",IF(설문!S34="발생",1,0))</f>
        <v/>
      </c>
      <c r="T24">
        <f>IF(설문!T34="","",IF(설문!T34="발생",1,0))</f>
        <v/>
      </c>
      <c r="U24">
        <f>IF(설문!U34="","",IF(설문!U34="발생",1,0))</f>
        <v/>
      </c>
      <c r="V24">
        <f>IF(설문!V34="","",IF(설문!V34="발생",1,0))</f>
        <v/>
      </c>
      <c r="W24">
        <f>IF(설문!W34="","",IF(설문!W34="발생",1,0))</f>
        <v/>
      </c>
      <c r="X24">
        <f>IF(설문!X34="","",IF(설문!X34="발생",1,0))</f>
        <v/>
      </c>
      <c r="Y24">
        <f>IF(설문!Y34="","",IF(설문!Y34="발생",1,0))</f>
        <v/>
      </c>
      <c r="Z24">
        <f>IF(설문!Z34="","",IF(설문!Z34="발생",1,0))</f>
        <v/>
      </c>
      <c r="AA24">
        <f>IF(설문!AA34="","",IF(설문!AA34="발생",1,0))</f>
        <v/>
      </c>
      <c r="AB24">
        <f>IF(설문!AB34="","",IF(설문!AB34="발생",1,0))</f>
        <v/>
      </c>
      <c r="AC24">
        <f>IF(설문!AC34="","",IF(설문!AC34="발생",1,0))</f>
        <v/>
      </c>
      <c r="AD24">
        <f>IF(설문!AD34="","",IF(설문!AD34="발생",1,0))</f>
        <v/>
      </c>
      <c r="AE24">
        <f>IF(설문!AE34="","",IF(설문!AE34="발생",1,0))</f>
        <v/>
      </c>
      <c r="AF24">
        <f>IF(설문!AF34="","",IF(설문!AF34="발생",1,0))</f>
        <v/>
      </c>
      <c r="AG24">
        <f>IF(설문!AG34="","",IF(설문!AG34="발생",1,0))</f>
        <v/>
      </c>
      <c r="AH24">
        <f>IF(설문!AH34="","",IF(설문!AH34="발생",1,0))</f>
        <v/>
      </c>
      <c r="AI24">
        <f>IF(설문!AI34="","",IF(설문!AI34="발생",1,0))</f>
        <v/>
      </c>
      <c r="AJ24">
        <f>IF(설문!AJ34="","",IF(설문!AJ34="발생",1,0))</f>
        <v/>
      </c>
      <c r="AK24">
        <f>IF(설문!AK34="","",IF(설문!AK34="발생",1,0))</f>
        <v/>
      </c>
      <c r="AL24">
        <f>IF(설문!AL34="","",IF(설문!AL34="발생",1,0))</f>
        <v/>
      </c>
      <c r="AM24">
        <f>IF(설문!AM34="","",IF(설문!AM34="발생",1,0))</f>
        <v/>
      </c>
      <c r="AN24">
        <f>IF(설문!AN34="","",IF(설문!AN34="발생",1,0))</f>
        <v/>
      </c>
      <c r="AO24">
        <f>IF(설문!AO34="","",IF(설문!AO34="발생",1,0))</f>
        <v/>
      </c>
      <c r="AP24">
        <f>IF(설문!AP34="","",IF(설문!AP34="발생",1,0))</f>
        <v/>
      </c>
      <c r="AQ24">
        <f>IF(설문!AQ34="","",IF(설문!AQ34="발생",1,0))</f>
        <v/>
      </c>
      <c r="AR24">
        <f>IF(설문!AR34="","",IF(설문!AR34="발생",1,0))</f>
        <v/>
      </c>
      <c r="AS24">
        <f>IF(설문!AS34="","",IF(설문!AS34="발생",1,0))</f>
        <v/>
      </c>
      <c r="AT24">
        <f>IF(설문!AT34="","",IF(설문!AT34="발생",1,0))</f>
        <v/>
      </c>
      <c r="AU24">
        <f>IF(설문!AU34="","",IF(설문!AU34="발생",1,0))</f>
        <v/>
      </c>
      <c r="AV24">
        <f>IF(설문!AV34="","",IF(설문!AV34="발생",1,0))</f>
        <v/>
      </c>
      <c r="AW24">
        <f>IF(설문!AW34="","",IF(설문!AW34="발생",1,0))</f>
        <v/>
      </c>
      <c r="AX24">
        <f>IF(설문!AX34="","",IF(설문!AX34="발생",1,0))</f>
        <v/>
      </c>
      <c r="AY24">
        <f>IF(설문!AY34="","",IF(설문!AY34="발생",1,0))</f>
        <v/>
      </c>
      <c r="AZ24">
        <f>IF(설문!AZ34="","",IF(설문!AZ34="발생",1,0))</f>
        <v/>
      </c>
      <c r="BA24">
        <f>IF(설문!BA34="","",IF(설문!BA34="발생",1,0))</f>
        <v/>
      </c>
      <c r="BB24">
        <f>IF(설문!BB34="","",IF(설문!BB34="발생",1,0))</f>
        <v/>
      </c>
    </row>
    <row r="25">
      <c r="A25" s="16" t="inlineStr">
        <is>
          <t>Q18_4</t>
        </is>
      </c>
      <c r="B25" s="16" t="inlineStr">
        <is>
          <t>발생=1</t>
        </is>
      </c>
      <c r="E25">
        <f>IF(설문!E35="","",IF(설문!E35="발생",1,0))</f>
        <v/>
      </c>
      <c r="F25">
        <f>IF(설문!F35="","",IF(설문!F35="발생",1,0))</f>
        <v/>
      </c>
      <c r="G25">
        <f>IF(설문!G35="","",IF(설문!G35="발생",1,0))</f>
        <v/>
      </c>
      <c r="H25">
        <f>IF(설문!H35="","",IF(설문!H35="발생",1,0))</f>
        <v/>
      </c>
      <c r="I25">
        <f>IF(설문!I35="","",IF(설문!I35="발생",1,0))</f>
        <v/>
      </c>
      <c r="J25">
        <f>IF(설문!J35="","",IF(설문!J35="발생",1,0))</f>
        <v/>
      </c>
      <c r="K25">
        <f>IF(설문!K35="","",IF(설문!K35="발생",1,0))</f>
        <v/>
      </c>
      <c r="L25">
        <f>IF(설문!L35="","",IF(설문!L35="발생",1,0))</f>
        <v/>
      </c>
      <c r="M25">
        <f>IF(설문!M35="","",IF(설문!M35="발생",1,0))</f>
        <v/>
      </c>
      <c r="N25">
        <f>IF(설문!N35="","",IF(설문!N35="발생",1,0))</f>
        <v/>
      </c>
      <c r="O25">
        <f>IF(설문!O35="","",IF(설문!O35="발생",1,0))</f>
        <v/>
      </c>
      <c r="P25">
        <f>IF(설문!P35="","",IF(설문!P35="발생",1,0))</f>
        <v/>
      </c>
      <c r="Q25">
        <f>IF(설문!Q35="","",IF(설문!Q35="발생",1,0))</f>
        <v/>
      </c>
      <c r="R25">
        <f>IF(설문!R35="","",IF(설문!R35="발생",1,0))</f>
        <v/>
      </c>
      <c r="S25">
        <f>IF(설문!S35="","",IF(설문!S35="발생",1,0))</f>
        <v/>
      </c>
      <c r="T25">
        <f>IF(설문!T35="","",IF(설문!T35="발생",1,0))</f>
        <v/>
      </c>
      <c r="U25">
        <f>IF(설문!U35="","",IF(설문!U35="발생",1,0))</f>
        <v/>
      </c>
      <c r="V25">
        <f>IF(설문!V35="","",IF(설문!V35="발생",1,0))</f>
        <v/>
      </c>
      <c r="W25">
        <f>IF(설문!W35="","",IF(설문!W35="발생",1,0))</f>
        <v/>
      </c>
      <c r="X25">
        <f>IF(설문!X35="","",IF(설문!X35="발생",1,0))</f>
        <v/>
      </c>
      <c r="Y25">
        <f>IF(설문!Y35="","",IF(설문!Y35="발생",1,0))</f>
        <v/>
      </c>
      <c r="Z25">
        <f>IF(설문!Z35="","",IF(설문!Z35="발생",1,0))</f>
        <v/>
      </c>
      <c r="AA25">
        <f>IF(설문!AA35="","",IF(설문!AA35="발생",1,0))</f>
        <v/>
      </c>
      <c r="AB25">
        <f>IF(설문!AB35="","",IF(설문!AB35="발생",1,0))</f>
        <v/>
      </c>
      <c r="AC25">
        <f>IF(설문!AC35="","",IF(설문!AC35="발생",1,0))</f>
        <v/>
      </c>
      <c r="AD25">
        <f>IF(설문!AD35="","",IF(설문!AD35="발생",1,0))</f>
        <v/>
      </c>
      <c r="AE25">
        <f>IF(설문!AE35="","",IF(설문!AE35="발생",1,0))</f>
        <v/>
      </c>
      <c r="AF25">
        <f>IF(설문!AF35="","",IF(설문!AF35="발생",1,0))</f>
        <v/>
      </c>
      <c r="AG25">
        <f>IF(설문!AG35="","",IF(설문!AG35="발생",1,0))</f>
        <v/>
      </c>
      <c r="AH25">
        <f>IF(설문!AH35="","",IF(설문!AH35="발생",1,0))</f>
        <v/>
      </c>
      <c r="AI25">
        <f>IF(설문!AI35="","",IF(설문!AI35="발생",1,0))</f>
        <v/>
      </c>
      <c r="AJ25">
        <f>IF(설문!AJ35="","",IF(설문!AJ35="발생",1,0))</f>
        <v/>
      </c>
      <c r="AK25">
        <f>IF(설문!AK35="","",IF(설문!AK35="발생",1,0))</f>
        <v/>
      </c>
      <c r="AL25">
        <f>IF(설문!AL35="","",IF(설문!AL35="발생",1,0))</f>
        <v/>
      </c>
      <c r="AM25">
        <f>IF(설문!AM35="","",IF(설문!AM35="발생",1,0))</f>
        <v/>
      </c>
      <c r="AN25">
        <f>IF(설문!AN35="","",IF(설문!AN35="발생",1,0))</f>
        <v/>
      </c>
      <c r="AO25">
        <f>IF(설문!AO35="","",IF(설문!AO35="발생",1,0))</f>
        <v/>
      </c>
      <c r="AP25">
        <f>IF(설문!AP35="","",IF(설문!AP35="발생",1,0))</f>
        <v/>
      </c>
      <c r="AQ25">
        <f>IF(설문!AQ35="","",IF(설문!AQ35="발생",1,0))</f>
        <v/>
      </c>
      <c r="AR25">
        <f>IF(설문!AR35="","",IF(설문!AR35="발생",1,0))</f>
        <v/>
      </c>
      <c r="AS25">
        <f>IF(설문!AS35="","",IF(설문!AS35="발생",1,0))</f>
        <v/>
      </c>
      <c r="AT25">
        <f>IF(설문!AT35="","",IF(설문!AT35="발생",1,0))</f>
        <v/>
      </c>
      <c r="AU25">
        <f>IF(설문!AU35="","",IF(설문!AU35="발생",1,0))</f>
        <v/>
      </c>
      <c r="AV25">
        <f>IF(설문!AV35="","",IF(설문!AV35="발생",1,0))</f>
        <v/>
      </c>
      <c r="AW25">
        <f>IF(설문!AW35="","",IF(설문!AW35="발생",1,0))</f>
        <v/>
      </c>
      <c r="AX25">
        <f>IF(설문!AX35="","",IF(설문!AX35="발생",1,0))</f>
        <v/>
      </c>
      <c r="AY25">
        <f>IF(설문!AY35="","",IF(설문!AY35="발생",1,0))</f>
        <v/>
      </c>
      <c r="AZ25">
        <f>IF(설문!AZ35="","",IF(설문!AZ35="발생",1,0))</f>
        <v/>
      </c>
      <c r="BA25">
        <f>IF(설문!BA35="","",IF(설문!BA35="발생",1,0))</f>
        <v/>
      </c>
      <c r="BB25">
        <f>IF(설문!BB35="","",IF(설문!BB35="발생",1,0))</f>
        <v/>
      </c>
    </row>
    <row r="26">
      <c r="A26" s="16" t="inlineStr">
        <is>
          <t>Q19_1</t>
        </is>
      </c>
      <c r="B26" s="16" t="inlineStr">
        <is>
          <t>5점척도</t>
        </is>
      </c>
      <c r="E26">
        <f>IF(설문!E37="","",IFERROR(VALUE(설문!E37),""))</f>
        <v/>
      </c>
      <c r="F26">
        <f>IF(설문!F37="","",IFERROR(VALUE(설문!F37),""))</f>
        <v/>
      </c>
      <c r="G26">
        <f>IF(설문!G37="","",IFERROR(VALUE(설문!G37),""))</f>
        <v/>
      </c>
      <c r="H26">
        <f>IF(설문!H37="","",IFERROR(VALUE(설문!H37),""))</f>
        <v/>
      </c>
      <c r="I26">
        <f>IF(설문!I37="","",IFERROR(VALUE(설문!I37),""))</f>
        <v/>
      </c>
      <c r="J26">
        <f>IF(설문!J37="","",IFERROR(VALUE(설문!J37),""))</f>
        <v/>
      </c>
      <c r="K26">
        <f>IF(설문!K37="","",IFERROR(VALUE(설문!K37),""))</f>
        <v/>
      </c>
      <c r="L26">
        <f>IF(설문!L37="","",IFERROR(VALUE(설문!L37),""))</f>
        <v/>
      </c>
      <c r="M26">
        <f>IF(설문!M37="","",IFERROR(VALUE(설문!M37),""))</f>
        <v/>
      </c>
      <c r="N26">
        <f>IF(설문!N37="","",IFERROR(VALUE(설문!N37),""))</f>
        <v/>
      </c>
      <c r="O26">
        <f>IF(설문!O37="","",IFERROR(VALUE(설문!O37),""))</f>
        <v/>
      </c>
      <c r="P26">
        <f>IF(설문!P37="","",IFERROR(VALUE(설문!P37),""))</f>
        <v/>
      </c>
      <c r="Q26">
        <f>IF(설문!Q37="","",IFERROR(VALUE(설문!Q37),""))</f>
        <v/>
      </c>
      <c r="R26">
        <f>IF(설문!R37="","",IFERROR(VALUE(설문!R37),""))</f>
        <v/>
      </c>
      <c r="S26">
        <f>IF(설문!S37="","",IFERROR(VALUE(설문!S37),""))</f>
        <v/>
      </c>
      <c r="T26">
        <f>IF(설문!T37="","",IFERROR(VALUE(설문!T37),""))</f>
        <v/>
      </c>
      <c r="U26">
        <f>IF(설문!U37="","",IFERROR(VALUE(설문!U37),""))</f>
        <v/>
      </c>
      <c r="V26">
        <f>IF(설문!V37="","",IFERROR(VALUE(설문!V37),""))</f>
        <v/>
      </c>
      <c r="W26">
        <f>IF(설문!W37="","",IFERROR(VALUE(설문!W37),""))</f>
        <v/>
      </c>
      <c r="X26">
        <f>IF(설문!X37="","",IFERROR(VALUE(설문!X37),""))</f>
        <v/>
      </c>
      <c r="Y26">
        <f>IF(설문!Y37="","",IFERROR(VALUE(설문!Y37),""))</f>
        <v/>
      </c>
      <c r="Z26">
        <f>IF(설문!Z37="","",IFERROR(VALUE(설문!Z37),""))</f>
        <v/>
      </c>
      <c r="AA26">
        <f>IF(설문!AA37="","",IFERROR(VALUE(설문!AA37),""))</f>
        <v/>
      </c>
      <c r="AB26">
        <f>IF(설문!AB37="","",IFERROR(VALUE(설문!AB37),""))</f>
        <v/>
      </c>
      <c r="AC26">
        <f>IF(설문!AC37="","",IFERROR(VALUE(설문!AC37),""))</f>
        <v/>
      </c>
      <c r="AD26">
        <f>IF(설문!AD37="","",IFERROR(VALUE(설문!AD37),""))</f>
        <v/>
      </c>
      <c r="AE26">
        <f>IF(설문!AE37="","",IFERROR(VALUE(설문!AE37),""))</f>
        <v/>
      </c>
      <c r="AF26">
        <f>IF(설문!AF37="","",IFERROR(VALUE(설문!AF37),""))</f>
        <v/>
      </c>
      <c r="AG26">
        <f>IF(설문!AG37="","",IFERROR(VALUE(설문!AG37),""))</f>
        <v/>
      </c>
      <c r="AH26">
        <f>IF(설문!AH37="","",IFERROR(VALUE(설문!AH37),""))</f>
        <v/>
      </c>
      <c r="AI26">
        <f>IF(설문!AI37="","",IFERROR(VALUE(설문!AI37),""))</f>
        <v/>
      </c>
      <c r="AJ26">
        <f>IF(설문!AJ37="","",IFERROR(VALUE(설문!AJ37),""))</f>
        <v/>
      </c>
      <c r="AK26">
        <f>IF(설문!AK37="","",IFERROR(VALUE(설문!AK37),""))</f>
        <v/>
      </c>
      <c r="AL26">
        <f>IF(설문!AL37="","",IFERROR(VALUE(설문!AL37),""))</f>
        <v/>
      </c>
      <c r="AM26">
        <f>IF(설문!AM37="","",IFERROR(VALUE(설문!AM37),""))</f>
        <v/>
      </c>
      <c r="AN26">
        <f>IF(설문!AN37="","",IFERROR(VALUE(설문!AN37),""))</f>
        <v/>
      </c>
      <c r="AO26">
        <f>IF(설문!AO37="","",IFERROR(VALUE(설문!AO37),""))</f>
        <v/>
      </c>
      <c r="AP26">
        <f>IF(설문!AP37="","",IFERROR(VALUE(설문!AP37),""))</f>
        <v/>
      </c>
      <c r="AQ26">
        <f>IF(설문!AQ37="","",IFERROR(VALUE(설문!AQ37),""))</f>
        <v/>
      </c>
      <c r="AR26">
        <f>IF(설문!AR37="","",IFERROR(VALUE(설문!AR37),""))</f>
        <v/>
      </c>
      <c r="AS26">
        <f>IF(설문!AS37="","",IFERROR(VALUE(설문!AS37),""))</f>
        <v/>
      </c>
      <c r="AT26">
        <f>IF(설문!AT37="","",IFERROR(VALUE(설문!AT37),""))</f>
        <v/>
      </c>
      <c r="AU26">
        <f>IF(설문!AU37="","",IFERROR(VALUE(설문!AU37),""))</f>
        <v/>
      </c>
      <c r="AV26">
        <f>IF(설문!AV37="","",IFERROR(VALUE(설문!AV37),""))</f>
        <v/>
      </c>
      <c r="AW26">
        <f>IF(설문!AW37="","",IFERROR(VALUE(설문!AW37),""))</f>
        <v/>
      </c>
      <c r="AX26">
        <f>IF(설문!AX37="","",IFERROR(VALUE(설문!AX37),""))</f>
        <v/>
      </c>
      <c r="AY26">
        <f>IF(설문!AY37="","",IFERROR(VALUE(설문!AY37),""))</f>
        <v/>
      </c>
      <c r="AZ26">
        <f>IF(설문!AZ37="","",IFERROR(VALUE(설문!AZ37),""))</f>
        <v/>
      </c>
      <c r="BA26">
        <f>IF(설문!BA37="","",IFERROR(VALUE(설문!BA37),""))</f>
        <v/>
      </c>
      <c r="BB26">
        <f>IF(설문!BB37="","",IFERROR(VALUE(설문!BB37),""))</f>
        <v/>
      </c>
    </row>
    <row r="27">
      <c r="A27" s="16" t="inlineStr">
        <is>
          <t>Q19_2</t>
        </is>
      </c>
      <c r="B27" s="16" t="inlineStr">
        <is>
          <t>5점척도</t>
        </is>
      </c>
      <c r="E27">
        <f>IF(설문!E38="","",IFERROR(VALUE(설문!E38),""))</f>
        <v/>
      </c>
      <c r="F27">
        <f>IF(설문!F38="","",IFERROR(VALUE(설문!F38),""))</f>
        <v/>
      </c>
      <c r="G27">
        <f>IF(설문!G38="","",IFERROR(VALUE(설문!G38),""))</f>
        <v/>
      </c>
      <c r="H27">
        <f>IF(설문!H38="","",IFERROR(VALUE(설문!H38),""))</f>
        <v/>
      </c>
      <c r="I27">
        <f>IF(설문!I38="","",IFERROR(VALUE(설문!I38),""))</f>
        <v/>
      </c>
      <c r="J27">
        <f>IF(설문!J38="","",IFERROR(VALUE(설문!J38),""))</f>
        <v/>
      </c>
      <c r="K27">
        <f>IF(설문!K38="","",IFERROR(VALUE(설문!K38),""))</f>
        <v/>
      </c>
      <c r="L27">
        <f>IF(설문!L38="","",IFERROR(VALUE(설문!L38),""))</f>
        <v/>
      </c>
      <c r="M27">
        <f>IF(설문!M38="","",IFERROR(VALUE(설문!M38),""))</f>
        <v/>
      </c>
      <c r="N27">
        <f>IF(설문!N38="","",IFERROR(VALUE(설문!N38),""))</f>
        <v/>
      </c>
      <c r="O27">
        <f>IF(설문!O38="","",IFERROR(VALUE(설문!O38),""))</f>
        <v/>
      </c>
      <c r="P27">
        <f>IF(설문!P38="","",IFERROR(VALUE(설문!P38),""))</f>
        <v/>
      </c>
      <c r="Q27">
        <f>IF(설문!Q38="","",IFERROR(VALUE(설문!Q38),""))</f>
        <v/>
      </c>
      <c r="R27">
        <f>IF(설문!R38="","",IFERROR(VALUE(설문!R38),""))</f>
        <v/>
      </c>
      <c r="S27">
        <f>IF(설문!S38="","",IFERROR(VALUE(설문!S38),""))</f>
        <v/>
      </c>
      <c r="T27">
        <f>IF(설문!T38="","",IFERROR(VALUE(설문!T38),""))</f>
        <v/>
      </c>
      <c r="U27">
        <f>IF(설문!U38="","",IFERROR(VALUE(설문!U38),""))</f>
        <v/>
      </c>
      <c r="V27">
        <f>IF(설문!V38="","",IFERROR(VALUE(설문!V38),""))</f>
        <v/>
      </c>
      <c r="W27">
        <f>IF(설문!W38="","",IFERROR(VALUE(설문!W38),""))</f>
        <v/>
      </c>
      <c r="X27">
        <f>IF(설문!X38="","",IFERROR(VALUE(설문!X38),""))</f>
        <v/>
      </c>
      <c r="Y27">
        <f>IF(설문!Y38="","",IFERROR(VALUE(설문!Y38),""))</f>
        <v/>
      </c>
      <c r="Z27">
        <f>IF(설문!Z38="","",IFERROR(VALUE(설문!Z38),""))</f>
        <v/>
      </c>
      <c r="AA27">
        <f>IF(설문!AA38="","",IFERROR(VALUE(설문!AA38),""))</f>
        <v/>
      </c>
      <c r="AB27">
        <f>IF(설문!AB38="","",IFERROR(VALUE(설문!AB38),""))</f>
        <v/>
      </c>
      <c r="AC27">
        <f>IF(설문!AC38="","",IFERROR(VALUE(설문!AC38),""))</f>
        <v/>
      </c>
      <c r="AD27">
        <f>IF(설문!AD38="","",IFERROR(VALUE(설문!AD38),""))</f>
        <v/>
      </c>
      <c r="AE27">
        <f>IF(설문!AE38="","",IFERROR(VALUE(설문!AE38),""))</f>
        <v/>
      </c>
      <c r="AF27">
        <f>IF(설문!AF38="","",IFERROR(VALUE(설문!AF38),""))</f>
        <v/>
      </c>
      <c r="AG27">
        <f>IF(설문!AG38="","",IFERROR(VALUE(설문!AG38),""))</f>
        <v/>
      </c>
      <c r="AH27">
        <f>IF(설문!AH38="","",IFERROR(VALUE(설문!AH38),""))</f>
        <v/>
      </c>
      <c r="AI27">
        <f>IF(설문!AI38="","",IFERROR(VALUE(설문!AI38),""))</f>
        <v/>
      </c>
      <c r="AJ27">
        <f>IF(설문!AJ38="","",IFERROR(VALUE(설문!AJ38),""))</f>
        <v/>
      </c>
      <c r="AK27">
        <f>IF(설문!AK38="","",IFERROR(VALUE(설문!AK38),""))</f>
        <v/>
      </c>
      <c r="AL27">
        <f>IF(설문!AL38="","",IFERROR(VALUE(설문!AL38),""))</f>
        <v/>
      </c>
      <c r="AM27">
        <f>IF(설문!AM38="","",IFERROR(VALUE(설문!AM38),""))</f>
        <v/>
      </c>
      <c r="AN27">
        <f>IF(설문!AN38="","",IFERROR(VALUE(설문!AN38),""))</f>
        <v/>
      </c>
      <c r="AO27">
        <f>IF(설문!AO38="","",IFERROR(VALUE(설문!AO38),""))</f>
        <v/>
      </c>
      <c r="AP27">
        <f>IF(설문!AP38="","",IFERROR(VALUE(설문!AP38),""))</f>
        <v/>
      </c>
      <c r="AQ27">
        <f>IF(설문!AQ38="","",IFERROR(VALUE(설문!AQ38),""))</f>
        <v/>
      </c>
      <c r="AR27">
        <f>IF(설문!AR38="","",IFERROR(VALUE(설문!AR38),""))</f>
        <v/>
      </c>
      <c r="AS27">
        <f>IF(설문!AS38="","",IFERROR(VALUE(설문!AS38),""))</f>
        <v/>
      </c>
      <c r="AT27">
        <f>IF(설문!AT38="","",IFERROR(VALUE(설문!AT38),""))</f>
        <v/>
      </c>
      <c r="AU27">
        <f>IF(설문!AU38="","",IFERROR(VALUE(설문!AU38),""))</f>
        <v/>
      </c>
      <c r="AV27">
        <f>IF(설문!AV38="","",IFERROR(VALUE(설문!AV38),""))</f>
        <v/>
      </c>
      <c r="AW27">
        <f>IF(설문!AW38="","",IFERROR(VALUE(설문!AW38),""))</f>
        <v/>
      </c>
      <c r="AX27">
        <f>IF(설문!AX38="","",IFERROR(VALUE(설문!AX38),""))</f>
        <v/>
      </c>
      <c r="AY27">
        <f>IF(설문!AY38="","",IFERROR(VALUE(설문!AY38),""))</f>
        <v/>
      </c>
      <c r="AZ27">
        <f>IF(설문!AZ38="","",IFERROR(VALUE(설문!AZ38),""))</f>
        <v/>
      </c>
      <c r="BA27">
        <f>IF(설문!BA38="","",IFERROR(VALUE(설문!BA38),""))</f>
        <v/>
      </c>
      <c r="BB27">
        <f>IF(설문!BB38="","",IFERROR(VALUE(설문!BB38),""))</f>
        <v/>
      </c>
    </row>
    <row r="28">
      <c r="A28" s="16" t="inlineStr">
        <is>
          <t>Q19_3</t>
        </is>
      </c>
      <c r="B28" s="16" t="inlineStr">
        <is>
          <t>5점척도</t>
        </is>
      </c>
      <c r="E28">
        <f>IF(설문!E39="","",IFERROR(VALUE(설문!E39),""))</f>
        <v/>
      </c>
      <c r="F28">
        <f>IF(설문!F39="","",IFERROR(VALUE(설문!F39),""))</f>
        <v/>
      </c>
      <c r="G28">
        <f>IF(설문!G39="","",IFERROR(VALUE(설문!G39),""))</f>
        <v/>
      </c>
      <c r="H28">
        <f>IF(설문!H39="","",IFERROR(VALUE(설문!H39),""))</f>
        <v/>
      </c>
      <c r="I28">
        <f>IF(설문!I39="","",IFERROR(VALUE(설문!I39),""))</f>
        <v/>
      </c>
      <c r="J28">
        <f>IF(설문!J39="","",IFERROR(VALUE(설문!J39),""))</f>
        <v/>
      </c>
      <c r="K28">
        <f>IF(설문!K39="","",IFERROR(VALUE(설문!K39),""))</f>
        <v/>
      </c>
      <c r="L28">
        <f>IF(설문!L39="","",IFERROR(VALUE(설문!L39),""))</f>
        <v/>
      </c>
      <c r="M28">
        <f>IF(설문!M39="","",IFERROR(VALUE(설문!M39),""))</f>
        <v/>
      </c>
      <c r="N28">
        <f>IF(설문!N39="","",IFERROR(VALUE(설문!N39),""))</f>
        <v/>
      </c>
      <c r="O28">
        <f>IF(설문!O39="","",IFERROR(VALUE(설문!O39),""))</f>
        <v/>
      </c>
      <c r="P28">
        <f>IF(설문!P39="","",IFERROR(VALUE(설문!P39),""))</f>
        <v/>
      </c>
      <c r="Q28">
        <f>IF(설문!Q39="","",IFERROR(VALUE(설문!Q39),""))</f>
        <v/>
      </c>
      <c r="R28">
        <f>IF(설문!R39="","",IFERROR(VALUE(설문!R39),""))</f>
        <v/>
      </c>
      <c r="S28">
        <f>IF(설문!S39="","",IFERROR(VALUE(설문!S39),""))</f>
        <v/>
      </c>
      <c r="T28">
        <f>IF(설문!T39="","",IFERROR(VALUE(설문!T39),""))</f>
        <v/>
      </c>
      <c r="U28">
        <f>IF(설문!U39="","",IFERROR(VALUE(설문!U39),""))</f>
        <v/>
      </c>
      <c r="V28">
        <f>IF(설문!V39="","",IFERROR(VALUE(설문!V39),""))</f>
        <v/>
      </c>
      <c r="W28">
        <f>IF(설문!W39="","",IFERROR(VALUE(설문!W39),""))</f>
        <v/>
      </c>
      <c r="X28">
        <f>IF(설문!X39="","",IFERROR(VALUE(설문!X39),""))</f>
        <v/>
      </c>
      <c r="Y28">
        <f>IF(설문!Y39="","",IFERROR(VALUE(설문!Y39),""))</f>
        <v/>
      </c>
      <c r="Z28">
        <f>IF(설문!Z39="","",IFERROR(VALUE(설문!Z39),""))</f>
        <v/>
      </c>
      <c r="AA28">
        <f>IF(설문!AA39="","",IFERROR(VALUE(설문!AA39),""))</f>
        <v/>
      </c>
      <c r="AB28">
        <f>IF(설문!AB39="","",IFERROR(VALUE(설문!AB39),""))</f>
        <v/>
      </c>
      <c r="AC28">
        <f>IF(설문!AC39="","",IFERROR(VALUE(설문!AC39),""))</f>
        <v/>
      </c>
      <c r="AD28">
        <f>IF(설문!AD39="","",IFERROR(VALUE(설문!AD39),""))</f>
        <v/>
      </c>
      <c r="AE28">
        <f>IF(설문!AE39="","",IFERROR(VALUE(설문!AE39),""))</f>
        <v/>
      </c>
      <c r="AF28">
        <f>IF(설문!AF39="","",IFERROR(VALUE(설문!AF39),""))</f>
        <v/>
      </c>
      <c r="AG28">
        <f>IF(설문!AG39="","",IFERROR(VALUE(설문!AG39),""))</f>
        <v/>
      </c>
      <c r="AH28">
        <f>IF(설문!AH39="","",IFERROR(VALUE(설문!AH39),""))</f>
        <v/>
      </c>
      <c r="AI28">
        <f>IF(설문!AI39="","",IFERROR(VALUE(설문!AI39),""))</f>
        <v/>
      </c>
      <c r="AJ28">
        <f>IF(설문!AJ39="","",IFERROR(VALUE(설문!AJ39),""))</f>
        <v/>
      </c>
      <c r="AK28">
        <f>IF(설문!AK39="","",IFERROR(VALUE(설문!AK39),""))</f>
        <v/>
      </c>
      <c r="AL28">
        <f>IF(설문!AL39="","",IFERROR(VALUE(설문!AL39),""))</f>
        <v/>
      </c>
      <c r="AM28">
        <f>IF(설문!AM39="","",IFERROR(VALUE(설문!AM39),""))</f>
        <v/>
      </c>
      <c r="AN28">
        <f>IF(설문!AN39="","",IFERROR(VALUE(설문!AN39),""))</f>
        <v/>
      </c>
      <c r="AO28">
        <f>IF(설문!AO39="","",IFERROR(VALUE(설문!AO39),""))</f>
        <v/>
      </c>
      <c r="AP28">
        <f>IF(설문!AP39="","",IFERROR(VALUE(설문!AP39),""))</f>
        <v/>
      </c>
      <c r="AQ28">
        <f>IF(설문!AQ39="","",IFERROR(VALUE(설문!AQ39),""))</f>
        <v/>
      </c>
      <c r="AR28">
        <f>IF(설문!AR39="","",IFERROR(VALUE(설문!AR39),""))</f>
        <v/>
      </c>
      <c r="AS28">
        <f>IF(설문!AS39="","",IFERROR(VALUE(설문!AS39),""))</f>
        <v/>
      </c>
      <c r="AT28">
        <f>IF(설문!AT39="","",IFERROR(VALUE(설문!AT39),""))</f>
        <v/>
      </c>
      <c r="AU28">
        <f>IF(설문!AU39="","",IFERROR(VALUE(설문!AU39),""))</f>
        <v/>
      </c>
      <c r="AV28">
        <f>IF(설문!AV39="","",IFERROR(VALUE(설문!AV39),""))</f>
        <v/>
      </c>
      <c r="AW28">
        <f>IF(설문!AW39="","",IFERROR(VALUE(설문!AW39),""))</f>
        <v/>
      </c>
      <c r="AX28">
        <f>IF(설문!AX39="","",IFERROR(VALUE(설문!AX39),""))</f>
        <v/>
      </c>
      <c r="AY28">
        <f>IF(설문!AY39="","",IFERROR(VALUE(설문!AY39),""))</f>
        <v/>
      </c>
      <c r="AZ28">
        <f>IF(설문!AZ39="","",IFERROR(VALUE(설문!AZ39),""))</f>
        <v/>
      </c>
      <c r="BA28">
        <f>IF(설문!BA39="","",IFERROR(VALUE(설문!BA39),""))</f>
        <v/>
      </c>
      <c r="BB28">
        <f>IF(설문!BB39="","",IFERROR(VALUE(설문!BB39),""))</f>
        <v/>
      </c>
    </row>
    <row r="29">
      <c r="A29" s="16" t="inlineStr">
        <is>
          <t>Q19_4</t>
        </is>
      </c>
      <c r="B29" s="16" t="inlineStr">
        <is>
          <t>5점척도</t>
        </is>
      </c>
      <c r="E29">
        <f>IF(설문!E40="","",IFERROR(VALUE(설문!E40),""))</f>
        <v/>
      </c>
      <c r="F29">
        <f>IF(설문!F40="","",IFERROR(VALUE(설문!F40),""))</f>
        <v/>
      </c>
      <c r="G29">
        <f>IF(설문!G40="","",IFERROR(VALUE(설문!G40),""))</f>
        <v/>
      </c>
      <c r="H29">
        <f>IF(설문!H40="","",IFERROR(VALUE(설문!H40),""))</f>
        <v/>
      </c>
      <c r="I29">
        <f>IF(설문!I40="","",IFERROR(VALUE(설문!I40),""))</f>
        <v/>
      </c>
      <c r="J29">
        <f>IF(설문!J40="","",IFERROR(VALUE(설문!J40),""))</f>
        <v/>
      </c>
      <c r="K29">
        <f>IF(설문!K40="","",IFERROR(VALUE(설문!K40),""))</f>
        <v/>
      </c>
      <c r="L29">
        <f>IF(설문!L40="","",IFERROR(VALUE(설문!L40),""))</f>
        <v/>
      </c>
      <c r="M29">
        <f>IF(설문!M40="","",IFERROR(VALUE(설문!M40),""))</f>
        <v/>
      </c>
      <c r="N29">
        <f>IF(설문!N40="","",IFERROR(VALUE(설문!N40),""))</f>
        <v/>
      </c>
      <c r="O29">
        <f>IF(설문!O40="","",IFERROR(VALUE(설문!O40),""))</f>
        <v/>
      </c>
      <c r="P29">
        <f>IF(설문!P40="","",IFERROR(VALUE(설문!P40),""))</f>
        <v/>
      </c>
      <c r="Q29">
        <f>IF(설문!Q40="","",IFERROR(VALUE(설문!Q40),""))</f>
        <v/>
      </c>
      <c r="R29">
        <f>IF(설문!R40="","",IFERROR(VALUE(설문!R40),""))</f>
        <v/>
      </c>
      <c r="S29">
        <f>IF(설문!S40="","",IFERROR(VALUE(설문!S40),""))</f>
        <v/>
      </c>
      <c r="T29">
        <f>IF(설문!T40="","",IFERROR(VALUE(설문!T40),""))</f>
        <v/>
      </c>
      <c r="U29">
        <f>IF(설문!U40="","",IFERROR(VALUE(설문!U40),""))</f>
        <v/>
      </c>
      <c r="V29">
        <f>IF(설문!V40="","",IFERROR(VALUE(설문!V40),""))</f>
        <v/>
      </c>
      <c r="W29">
        <f>IF(설문!W40="","",IFERROR(VALUE(설문!W40),""))</f>
        <v/>
      </c>
      <c r="X29">
        <f>IF(설문!X40="","",IFERROR(VALUE(설문!X40),""))</f>
        <v/>
      </c>
      <c r="Y29">
        <f>IF(설문!Y40="","",IFERROR(VALUE(설문!Y40),""))</f>
        <v/>
      </c>
      <c r="Z29">
        <f>IF(설문!Z40="","",IFERROR(VALUE(설문!Z40),""))</f>
        <v/>
      </c>
      <c r="AA29">
        <f>IF(설문!AA40="","",IFERROR(VALUE(설문!AA40),""))</f>
        <v/>
      </c>
      <c r="AB29">
        <f>IF(설문!AB40="","",IFERROR(VALUE(설문!AB40),""))</f>
        <v/>
      </c>
      <c r="AC29">
        <f>IF(설문!AC40="","",IFERROR(VALUE(설문!AC40),""))</f>
        <v/>
      </c>
      <c r="AD29">
        <f>IF(설문!AD40="","",IFERROR(VALUE(설문!AD40),""))</f>
        <v/>
      </c>
      <c r="AE29">
        <f>IF(설문!AE40="","",IFERROR(VALUE(설문!AE40),""))</f>
        <v/>
      </c>
      <c r="AF29">
        <f>IF(설문!AF40="","",IFERROR(VALUE(설문!AF40),""))</f>
        <v/>
      </c>
      <c r="AG29">
        <f>IF(설문!AG40="","",IFERROR(VALUE(설문!AG40),""))</f>
        <v/>
      </c>
      <c r="AH29">
        <f>IF(설문!AH40="","",IFERROR(VALUE(설문!AH40),""))</f>
        <v/>
      </c>
      <c r="AI29">
        <f>IF(설문!AI40="","",IFERROR(VALUE(설문!AI40),""))</f>
        <v/>
      </c>
      <c r="AJ29">
        <f>IF(설문!AJ40="","",IFERROR(VALUE(설문!AJ40),""))</f>
        <v/>
      </c>
      <c r="AK29">
        <f>IF(설문!AK40="","",IFERROR(VALUE(설문!AK40),""))</f>
        <v/>
      </c>
      <c r="AL29">
        <f>IF(설문!AL40="","",IFERROR(VALUE(설문!AL40),""))</f>
        <v/>
      </c>
      <c r="AM29">
        <f>IF(설문!AM40="","",IFERROR(VALUE(설문!AM40),""))</f>
        <v/>
      </c>
      <c r="AN29">
        <f>IF(설문!AN40="","",IFERROR(VALUE(설문!AN40),""))</f>
        <v/>
      </c>
      <c r="AO29">
        <f>IF(설문!AO40="","",IFERROR(VALUE(설문!AO40),""))</f>
        <v/>
      </c>
      <c r="AP29">
        <f>IF(설문!AP40="","",IFERROR(VALUE(설문!AP40),""))</f>
        <v/>
      </c>
      <c r="AQ29">
        <f>IF(설문!AQ40="","",IFERROR(VALUE(설문!AQ40),""))</f>
        <v/>
      </c>
      <c r="AR29">
        <f>IF(설문!AR40="","",IFERROR(VALUE(설문!AR40),""))</f>
        <v/>
      </c>
      <c r="AS29">
        <f>IF(설문!AS40="","",IFERROR(VALUE(설문!AS40),""))</f>
        <v/>
      </c>
      <c r="AT29">
        <f>IF(설문!AT40="","",IFERROR(VALUE(설문!AT40),""))</f>
        <v/>
      </c>
      <c r="AU29">
        <f>IF(설문!AU40="","",IFERROR(VALUE(설문!AU40),""))</f>
        <v/>
      </c>
      <c r="AV29">
        <f>IF(설문!AV40="","",IFERROR(VALUE(설문!AV40),""))</f>
        <v/>
      </c>
      <c r="AW29">
        <f>IF(설문!AW40="","",IFERROR(VALUE(설문!AW40),""))</f>
        <v/>
      </c>
      <c r="AX29">
        <f>IF(설문!AX40="","",IFERROR(VALUE(설문!AX40),""))</f>
        <v/>
      </c>
      <c r="AY29">
        <f>IF(설문!AY40="","",IFERROR(VALUE(설문!AY40),""))</f>
        <v/>
      </c>
      <c r="AZ29">
        <f>IF(설문!AZ40="","",IFERROR(VALUE(설문!AZ40),""))</f>
        <v/>
      </c>
      <c r="BA29">
        <f>IF(설문!BA40="","",IFERROR(VALUE(설문!BA40),""))</f>
        <v/>
      </c>
      <c r="BB29">
        <f>IF(설문!BB40="","",IFERROR(VALUE(설문!BB40),""))</f>
        <v/>
      </c>
    </row>
    <row r="30">
      <c r="A30" s="16" t="inlineStr">
        <is>
          <t>Q20</t>
        </is>
      </c>
      <c r="B30" s="16" t="inlineStr">
        <is>
          <t>참고 1~5</t>
        </is>
      </c>
      <c r="E30">
        <f>IF(설문!E42="","",IFERROR(VALUE(설문!E42),""))</f>
        <v/>
      </c>
      <c r="F30">
        <f>IF(설문!F42="","",IFERROR(VALUE(설문!F42),""))</f>
        <v/>
      </c>
      <c r="G30">
        <f>IF(설문!G42="","",IFERROR(VALUE(설문!G42),""))</f>
        <v/>
      </c>
      <c r="H30">
        <f>IF(설문!H42="","",IFERROR(VALUE(설문!H42),""))</f>
        <v/>
      </c>
      <c r="I30">
        <f>IF(설문!I42="","",IFERROR(VALUE(설문!I42),""))</f>
        <v/>
      </c>
      <c r="J30">
        <f>IF(설문!J42="","",IFERROR(VALUE(설문!J42),""))</f>
        <v/>
      </c>
      <c r="K30">
        <f>IF(설문!K42="","",IFERROR(VALUE(설문!K42),""))</f>
        <v/>
      </c>
      <c r="L30">
        <f>IF(설문!L42="","",IFERROR(VALUE(설문!L42),""))</f>
        <v/>
      </c>
      <c r="M30">
        <f>IF(설문!M42="","",IFERROR(VALUE(설문!M42),""))</f>
        <v/>
      </c>
      <c r="N30">
        <f>IF(설문!N42="","",IFERROR(VALUE(설문!N42),""))</f>
        <v/>
      </c>
      <c r="O30">
        <f>IF(설문!O42="","",IFERROR(VALUE(설문!O42),""))</f>
        <v/>
      </c>
      <c r="P30">
        <f>IF(설문!P42="","",IFERROR(VALUE(설문!P42),""))</f>
        <v/>
      </c>
      <c r="Q30">
        <f>IF(설문!Q42="","",IFERROR(VALUE(설문!Q42),""))</f>
        <v/>
      </c>
      <c r="R30">
        <f>IF(설문!R42="","",IFERROR(VALUE(설문!R42),""))</f>
        <v/>
      </c>
      <c r="S30">
        <f>IF(설문!S42="","",IFERROR(VALUE(설문!S42),""))</f>
        <v/>
      </c>
      <c r="T30">
        <f>IF(설문!T42="","",IFERROR(VALUE(설문!T42),""))</f>
        <v/>
      </c>
      <c r="U30">
        <f>IF(설문!U42="","",IFERROR(VALUE(설문!U42),""))</f>
        <v/>
      </c>
      <c r="V30">
        <f>IF(설문!V42="","",IFERROR(VALUE(설문!V42),""))</f>
        <v/>
      </c>
      <c r="W30">
        <f>IF(설문!W42="","",IFERROR(VALUE(설문!W42),""))</f>
        <v/>
      </c>
      <c r="X30">
        <f>IF(설문!X42="","",IFERROR(VALUE(설문!X42),""))</f>
        <v/>
      </c>
      <c r="Y30">
        <f>IF(설문!Y42="","",IFERROR(VALUE(설문!Y42),""))</f>
        <v/>
      </c>
      <c r="Z30">
        <f>IF(설문!Z42="","",IFERROR(VALUE(설문!Z42),""))</f>
        <v/>
      </c>
      <c r="AA30">
        <f>IF(설문!AA42="","",IFERROR(VALUE(설문!AA42),""))</f>
        <v/>
      </c>
      <c r="AB30">
        <f>IF(설문!AB42="","",IFERROR(VALUE(설문!AB42),""))</f>
        <v/>
      </c>
      <c r="AC30">
        <f>IF(설문!AC42="","",IFERROR(VALUE(설문!AC42),""))</f>
        <v/>
      </c>
      <c r="AD30">
        <f>IF(설문!AD42="","",IFERROR(VALUE(설문!AD42),""))</f>
        <v/>
      </c>
      <c r="AE30">
        <f>IF(설문!AE42="","",IFERROR(VALUE(설문!AE42),""))</f>
        <v/>
      </c>
      <c r="AF30">
        <f>IF(설문!AF42="","",IFERROR(VALUE(설문!AF42),""))</f>
        <v/>
      </c>
      <c r="AG30">
        <f>IF(설문!AG42="","",IFERROR(VALUE(설문!AG42),""))</f>
        <v/>
      </c>
      <c r="AH30">
        <f>IF(설문!AH42="","",IFERROR(VALUE(설문!AH42),""))</f>
        <v/>
      </c>
      <c r="AI30">
        <f>IF(설문!AI42="","",IFERROR(VALUE(설문!AI42),""))</f>
        <v/>
      </c>
      <c r="AJ30">
        <f>IF(설문!AJ42="","",IFERROR(VALUE(설문!AJ42),""))</f>
        <v/>
      </c>
      <c r="AK30">
        <f>IF(설문!AK42="","",IFERROR(VALUE(설문!AK42),""))</f>
        <v/>
      </c>
      <c r="AL30">
        <f>IF(설문!AL42="","",IFERROR(VALUE(설문!AL42),""))</f>
        <v/>
      </c>
      <c r="AM30">
        <f>IF(설문!AM42="","",IFERROR(VALUE(설문!AM42),""))</f>
        <v/>
      </c>
      <c r="AN30">
        <f>IF(설문!AN42="","",IFERROR(VALUE(설문!AN42),""))</f>
        <v/>
      </c>
      <c r="AO30">
        <f>IF(설문!AO42="","",IFERROR(VALUE(설문!AO42),""))</f>
        <v/>
      </c>
      <c r="AP30">
        <f>IF(설문!AP42="","",IFERROR(VALUE(설문!AP42),""))</f>
        <v/>
      </c>
      <c r="AQ30">
        <f>IF(설문!AQ42="","",IFERROR(VALUE(설문!AQ42),""))</f>
        <v/>
      </c>
      <c r="AR30">
        <f>IF(설문!AR42="","",IFERROR(VALUE(설문!AR42),""))</f>
        <v/>
      </c>
      <c r="AS30">
        <f>IF(설문!AS42="","",IFERROR(VALUE(설문!AS42),""))</f>
        <v/>
      </c>
      <c r="AT30">
        <f>IF(설문!AT42="","",IFERROR(VALUE(설문!AT42),""))</f>
        <v/>
      </c>
      <c r="AU30">
        <f>IF(설문!AU42="","",IFERROR(VALUE(설문!AU42),""))</f>
        <v/>
      </c>
      <c r="AV30">
        <f>IF(설문!AV42="","",IFERROR(VALUE(설문!AV42),""))</f>
        <v/>
      </c>
      <c r="AW30">
        <f>IF(설문!AW42="","",IFERROR(VALUE(설문!AW42),""))</f>
        <v/>
      </c>
      <c r="AX30">
        <f>IF(설문!AX42="","",IFERROR(VALUE(설문!AX42),""))</f>
        <v/>
      </c>
      <c r="AY30">
        <f>IF(설문!AY42="","",IFERROR(VALUE(설문!AY42),""))</f>
        <v/>
      </c>
      <c r="AZ30">
        <f>IF(설문!AZ42="","",IFERROR(VALUE(설문!AZ42),""))</f>
        <v/>
      </c>
      <c r="BA30">
        <f>IF(설문!BA42="","",IFERROR(VALUE(설문!BA42),""))</f>
        <v/>
      </c>
      <c r="BB30">
        <f>IF(설문!BB42="","",IFERROR(VALUE(설문!BB42),""))</f>
        <v/>
      </c>
    </row>
    <row r="31">
      <c r="A31" s="16" t="inlineStr">
        <is>
          <t>Q21_1</t>
        </is>
      </c>
      <c r="B31" s="16" t="inlineStr">
        <is>
          <t>5점척도</t>
        </is>
      </c>
      <c r="E31">
        <f>IF(설문!E44="","",IFERROR(VALUE(설문!E44),""))</f>
        <v/>
      </c>
      <c r="F31">
        <f>IF(설문!F44="","",IFERROR(VALUE(설문!F44),""))</f>
        <v/>
      </c>
      <c r="G31">
        <f>IF(설문!G44="","",IFERROR(VALUE(설문!G44),""))</f>
        <v/>
      </c>
      <c r="H31">
        <f>IF(설문!H44="","",IFERROR(VALUE(설문!H44),""))</f>
        <v/>
      </c>
      <c r="I31">
        <f>IF(설문!I44="","",IFERROR(VALUE(설문!I44),""))</f>
        <v/>
      </c>
      <c r="J31">
        <f>IF(설문!J44="","",IFERROR(VALUE(설문!J44),""))</f>
        <v/>
      </c>
      <c r="K31">
        <f>IF(설문!K44="","",IFERROR(VALUE(설문!K44),""))</f>
        <v/>
      </c>
      <c r="L31">
        <f>IF(설문!L44="","",IFERROR(VALUE(설문!L44),""))</f>
        <v/>
      </c>
      <c r="M31">
        <f>IF(설문!M44="","",IFERROR(VALUE(설문!M44),""))</f>
        <v/>
      </c>
      <c r="N31">
        <f>IF(설문!N44="","",IFERROR(VALUE(설문!N44),""))</f>
        <v/>
      </c>
      <c r="O31">
        <f>IF(설문!O44="","",IFERROR(VALUE(설문!O44),""))</f>
        <v/>
      </c>
      <c r="P31">
        <f>IF(설문!P44="","",IFERROR(VALUE(설문!P44),""))</f>
        <v/>
      </c>
      <c r="Q31">
        <f>IF(설문!Q44="","",IFERROR(VALUE(설문!Q44),""))</f>
        <v/>
      </c>
      <c r="R31">
        <f>IF(설문!R44="","",IFERROR(VALUE(설문!R44),""))</f>
        <v/>
      </c>
      <c r="S31">
        <f>IF(설문!S44="","",IFERROR(VALUE(설문!S44),""))</f>
        <v/>
      </c>
      <c r="T31">
        <f>IF(설문!T44="","",IFERROR(VALUE(설문!T44),""))</f>
        <v/>
      </c>
      <c r="U31">
        <f>IF(설문!U44="","",IFERROR(VALUE(설문!U44),""))</f>
        <v/>
      </c>
      <c r="V31">
        <f>IF(설문!V44="","",IFERROR(VALUE(설문!V44),""))</f>
        <v/>
      </c>
      <c r="W31">
        <f>IF(설문!W44="","",IFERROR(VALUE(설문!W44),""))</f>
        <v/>
      </c>
      <c r="X31">
        <f>IF(설문!X44="","",IFERROR(VALUE(설문!X44),""))</f>
        <v/>
      </c>
      <c r="Y31">
        <f>IF(설문!Y44="","",IFERROR(VALUE(설문!Y44),""))</f>
        <v/>
      </c>
      <c r="Z31">
        <f>IF(설문!Z44="","",IFERROR(VALUE(설문!Z44),""))</f>
        <v/>
      </c>
      <c r="AA31">
        <f>IF(설문!AA44="","",IFERROR(VALUE(설문!AA44),""))</f>
        <v/>
      </c>
      <c r="AB31">
        <f>IF(설문!AB44="","",IFERROR(VALUE(설문!AB44),""))</f>
        <v/>
      </c>
      <c r="AC31">
        <f>IF(설문!AC44="","",IFERROR(VALUE(설문!AC44),""))</f>
        <v/>
      </c>
      <c r="AD31">
        <f>IF(설문!AD44="","",IFERROR(VALUE(설문!AD44),""))</f>
        <v/>
      </c>
      <c r="AE31">
        <f>IF(설문!AE44="","",IFERROR(VALUE(설문!AE44),""))</f>
        <v/>
      </c>
      <c r="AF31">
        <f>IF(설문!AF44="","",IFERROR(VALUE(설문!AF44),""))</f>
        <v/>
      </c>
      <c r="AG31">
        <f>IF(설문!AG44="","",IFERROR(VALUE(설문!AG44),""))</f>
        <v/>
      </c>
      <c r="AH31">
        <f>IF(설문!AH44="","",IFERROR(VALUE(설문!AH44),""))</f>
        <v/>
      </c>
      <c r="AI31">
        <f>IF(설문!AI44="","",IFERROR(VALUE(설문!AI44),""))</f>
        <v/>
      </c>
      <c r="AJ31">
        <f>IF(설문!AJ44="","",IFERROR(VALUE(설문!AJ44),""))</f>
        <v/>
      </c>
      <c r="AK31">
        <f>IF(설문!AK44="","",IFERROR(VALUE(설문!AK44),""))</f>
        <v/>
      </c>
      <c r="AL31">
        <f>IF(설문!AL44="","",IFERROR(VALUE(설문!AL44),""))</f>
        <v/>
      </c>
      <c r="AM31">
        <f>IF(설문!AM44="","",IFERROR(VALUE(설문!AM44),""))</f>
        <v/>
      </c>
      <c r="AN31">
        <f>IF(설문!AN44="","",IFERROR(VALUE(설문!AN44),""))</f>
        <v/>
      </c>
      <c r="AO31">
        <f>IF(설문!AO44="","",IFERROR(VALUE(설문!AO44),""))</f>
        <v/>
      </c>
      <c r="AP31">
        <f>IF(설문!AP44="","",IFERROR(VALUE(설문!AP44),""))</f>
        <v/>
      </c>
      <c r="AQ31">
        <f>IF(설문!AQ44="","",IFERROR(VALUE(설문!AQ44),""))</f>
        <v/>
      </c>
      <c r="AR31">
        <f>IF(설문!AR44="","",IFERROR(VALUE(설문!AR44),""))</f>
        <v/>
      </c>
      <c r="AS31">
        <f>IF(설문!AS44="","",IFERROR(VALUE(설문!AS44),""))</f>
        <v/>
      </c>
      <c r="AT31">
        <f>IF(설문!AT44="","",IFERROR(VALUE(설문!AT44),""))</f>
        <v/>
      </c>
      <c r="AU31">
        <f>IF(설문!AU44="","",IFERROR(VALUE(설문!AU44),""))</f>
        <v/>
      </c>
      <c r="AV31">
        <f>IF(설문!AV44="","",IFERROR(VALUE(설문!AV44),""))</f>
        <v/>
      </c>
      <c r="AW31">
        <f>IF(설문!AW44="","",IFERROR(VALUE(설문!AW44),""))</f>
        <v/>
      </c>
      <c r="AX31">
        <f>IF(설문!AX44="","",IFERROR(VALUE(설문!AX44),""))</f>
        <v/>
      </c>
      <c r="AY31">
        <f>IF(설문!AY44="","",IFERROR(VALUE(설문!AY44),""))</f>
        <v/>
      </c>
      <c r="AZ31">
        <f>IF(설문!AZ44="","",IFERROR(VALUE(설문!AZ44),""))</f>
        <v/>
      </c>
      <c r="BA31">
        <f>IF(설문!BA44="","",IFERROR(VALUE(설문!BA44),""))</f>
        <v/>
      </c>
      <c r="BB31">
        <f>IF(설문!BB44="","",IFERROR(VALUE(설문!BB44),""))</f>
        <v/>
      </c>
    </row>
    <row r="32">
      <c r="A32" s="16" t="inlineStr">
        <is>
          <t>Q21_2</t>
        </is>
      </c>
      <c r="B32" s="16" t="inlineStr">
        <is>
          <t>5점척도</t>
        </is>
      </c>
      <c r="E32">
        <f>IF(설문!E45="","",IFERROR(VALUE(설문!E45),""))</f>
        <v/>
      </c>
      <c r="F32">
        <f>IF(설문!F45="","",IFERROR(VALUE(설문!F45),""))</f>
        <v/>
      </c>
      <c r="G32">
        <f>IF(설문!G45="","",IFERROR(VALUE(설문!G45),""))</f>
        <v/>
      </c>
      <c r="H32">
        <f>IF(설문!H45="","",IFERROR(VALUE(설문!H45),""))</f>
        <v/>
      </c>
      <c r="I32">
        <f>IF(설문!I45="","",IFERROR(VALUE(설문!I45),""))</f>
        <v/>
      </c>
      <c r="J32">
        <f>IF(설문!J45="","",IFERROR(VALUE(설문!J45),""))</f>
        <v/>
      </c>
      <c r="K32">
        <f>IF(설문!K45="","",IFERROR(VALUE(설문!K45),""))</f>
        <v/>
      </c>
      <c r="L32">
        <f>IF(설문!L45="","",IFERROR(VALUE(설문!L45),""))</f>
        <v/>
      </c>
      <c r="M32">
        <f>IF(설문!M45="","",IFERROR(VALUE(설문!M45),""))</f>
        <v/>
      </c>
      <c r="N32">
        <f>IF(설문!N45="","",IFERROR(VALUE(설문!N45),""))</f>
        <v/>
      </c>
      <c r="O32">
        <f>IF(설문!O45="","",IFERROR(VALUE(설문!O45),""))</f>
        <v/>
      </c>
      <c r="P32">
        <f>IF(설문!P45="","",IFERROR(VALUE(설문!P45),""))</f>
        <v/>
      </c>
      <c r="Q32">
        <f>IF(설문!Q45="","",IFERROR(VALUE(설문!Q45),""))</f>
        <v/>
      </c>
      <c r="R32">
        <f>IF(설문!R45="","",IFERROR(VALUE(설문!R45),""))</f>
        <v/>
      </c>
      <c r="S32">
        <f>IF(설문!S45="","",IFERROR(VALUE(설문!S45),""))</f>
        <v/>
      </c>
      <c r="T32">
        <f>IF(설문!T45="","",IFERROR(VALUE(설문!T45),""))</f>
        <v/>
      </c>
      <c r="U32">
        <f>IF(설문!U45="","",IFERROR(VALUE(설문!U45),""))</f>
        <v/>
      </c>
      <c r="V32">
        <f>IF(설문!V45="","",IFERROR(VALUE(설문!V45),""))</f>
        <v/>
      </c>
      <c r="W32">
        <f>IF(설문!W45="","",IFERROR(VALUE(설문!W45),""))</f>
        <v/>
      </c>
      <c r="X32">
        <f>IF(설문!X45="","",IFERROR(VALUE(설문!X45),""))</f>
        <v/>
      </c>
      <c r="Y32">
        <f>IF(설문!Y45="","",IFERROR(VALUE(설문!Y45),""))</f>
        <v/>
      </c>
      <c r="Z32">
        <f>IF(설문!Z45="","",IFERROR(VALUE(설문!Z45),""))</f>
        <v/>
      </c>
      <c r="AA32">
        <f>IF(설문!AA45="","",IFERROR(VALUE(설문!AA45),""))</f>
        <v/>
      </c>
      <c r="AB32">
        <f>IF(설문!AB45="","",IFERROR(VALUE(설문!AB45),""))</f>
        <v/>
      </c>
      <c r="AC32">
        <f>IF(설문!AC45="","",IFERROR(VALUE(설문!AC45),""))</f>
        <v/>
      </c>
      <c r="AD32">
        <f>IF(설문!AD45="","",IFERROR(VALUE(설문!AD45),""))</f>
        <v/>
      </c>
      <c r="AE32">
        <f>IF(설문!AE45="","",IFERROR(VALUE(설문!AE45),""))</f>
        <v/>
      </c>
      <c r="AF32">
        <f>IF(설문!AF45="","",IFERROR(VALUE(설문!AF45),""))</f>
        <v/>
      </c>
      <c r="AG32">
        <f>IF(설문!AG45="","",IFERROR(VALUE(설문!AG45),""))</f>
        <v/>
      </c>
      <c r="AH32">
        <f>IF(설문!AH45="","",IFERROR(VALUE(설문!AH45),""))</f>
        <v/>
      </c>
      <c r="AI32">
        <f>IF(설문!AI45="","",IFERROR(VALUE(설문!AI45),""))</f>
        <v/>
      </c>
      <c r="AJ32">
        <f>IF(설문!AJ45="","",IFERROR(VALUE(설문!AJ45),""))</f>
        <v/>
      </c>
      <c r="AK32">
        <f>IF(설문!AK45="","",IFERROR(VALUE(설문!AK45),""))</f>
        <v/>
      </c>
      <c r="AL32">
        <f>IF(설문!AL45="","",IFERROR(VALUE(설문!AL45),""))</f>
        <v/>
      </c>
      <c r="AM32">
        <f>IF(설문!AM45="","",IFERROR(VALUE(설문!AM45),""))</f>
        <v/>
      </c>
      <c r="AN32">
        <f>IF(설문!AN45="","",IFERROR(VALUE(설문!AN45),""))</f>
        <v/>
      </c>
      <c r="AO32">
        <f>IF(설문!AO45="","",IFERROR(VALUE(설문!AO45),""))</f>
        <v/>
      </c>
      <c r="AP32">
        <f>IF(설문!AP45="","",IFERROR(VALUE(설문!AP45),""))</f>
        <v/>
      </c>
      <c r="AQ32">
        <f>IF(설문!AQ45="","",IFERROR(VALUE(설문!AQ45),""))</f>
        <v/>
      </c>
      <c r="AR32">
        <f>IF(설문!AR45="","",IFERROR(VALUE(설문!AR45),""))</f>
        <v/>
      </c>
      <c r="AS32">
        <f>IF(설문!AS45="","",IFERROR(VALUE(설문!AS45),""))</f>
        <v/>
      </c>
      <c r="AT32">
        <f>IF(설문!AT45="","",IFERROR(VALUE(설문!AT45),""))</f>
        <v/>
      </c>
      <c r="AU32">
        <f>IF(설문!AU45="","",IFERROR(VALUE(설문!AU45),""))</f>
        <v/>
      </c>
      <c r="AV32">
        <f>IF(설문!AV45="","",IFERROR(VALUE(설문!AV45),""))</f>
        <v/>
      </c>
      <c r="AW32">
        <f>IF(설문!AW45="","",IFERROR(VALUE(설문!AW45),""))</f>
        <v/>
      </c>
      <c r="AX32">
        <f>IF(설문!AX45="","",IFERROR(VALUE(설문!AX45),""))</f>
        <v/>
      </c>
      <c r="AY32">
        <f>IF(설문!AY45="","",IFERROR(VALUE(설문!AY45),""))</f>
        <v/>
      </c>
      <c r="AZ32">
        <f>IF(설문!AZ45="","",IFERROR(VALUE(설문!AZ45),""))</f>
        <v/>
      </c>
      <c r="BA32">
        <f>IF(설문!BA45="","",IFERROR(VALUE(설문!BA45),""))</f>
        <v/>
      </c>
      <c r="BB32">
        <f>IF(설문!BB45="","",IFERROR(VALUE(설문!BB45),""))</f>
        <v/>
      </c>
    </row>
    <row r="33">
      <c r="A33" s="16" t="inlineStr">
        <is>
          <t>Q21_3</t>
        </is>
      </c>
      <c r="B33" s="16" t="inlineStr">
        <is>
          <t>5점척도</t>
        </is>
      </c>
      <c r="E33">
        <f>IF(설문!E46="","",IFERROR(VALUE(설문!E46),""))</f>
        <v/>
      </c>
      <c r="F33">
        <f>IF(설문!F46="","",IFERROR(VALUE(설문!F46),""))</f>
        <v/>
      </c>
      <c r="G33">
        <f>IF(설문!G46="","",IFERROR(VALUE(설문!G46),""))</f>
        <v/>
      </c>
      <c r="H33">
        <f>IF(설문!H46="","",IFERROR(VALUE(설문!H46),""))</f>
        <v/>
      </c>
      <c r="I33">
        <f>IF(설문!I46="","",IFERROR(VALUE(설문!I46),""))</f>
        <v/>
      </c>
      <c r="J33">
        <f>IF(설문!J46="","",IFERROR(VALUE(설문!J46),""))</f>
        <v/>
      </c>
      <c r="K33">
        <f>IF(설문!K46="","",IFERROR(VALUE(설문!K46),""))</f>
        <v/>
      </c>
      <c r="L33">
        <f>IF(설문!L46="","",IFERROR(VALUE(설문!L46),""))</f>
        <v/>
      </c>
      <c r="M33">
        <f>IF(설문!M46="","",IFERROR(VALUE(설문!M46),""))</f>
        <v/>
      </c>
      <c r="N33">
        <f>IF(설문!N46="","",IFERROR(VALUE(설문!N46),""))</f>
        <v/>
      </c>
      <c r="O33">
        <f>IF(설문!O46="","",IFERROR(VALUE(설문!O46),""))</f>
        <v/>
      </c>
      <c r="P33">
        <f>IF(설문!P46="","",IFERROR(VALUE(설문!P46),""))</f>
        <v/>
      </c>
      <c r="Q33">
        <f>IF(설문!Q46="","",IFERROR(VALUE(설문!Q46),""))</f>
        <v/>
      </c>
      <c r="R33">
        <f>IF(설문!R46="","",IFERROR(VALUE(설문!R46),""))</f>
        <v/>
      </c>
      <c r="S33">
        <f>IF(설문!S46="","",IFERROR(VALUE(설문!S46),""))</f>
        <v/>
      </c>
      <c r="T33">
        <f>IF(설문!T46="","",IFERROR(VALUE(설문!T46),""))</f>
        <v/>
      </c>
      <c r="U33">
        <f>IF(설문!U46="","",IFERROR(VALUE(설문!U46),""))</f>
        <v/>
      </c>
      <c r="V33">
        <f>IF(설문!V46="","",IFERROR(VALUE(설문!V46),""))</f>
        <v/>
      </c>
      <c r="W33">
        <f>IF(설문!W46="","",IFERROR(VALUE(설문!W46),""))</f>
        <v/>
      </c>
      <c r="X33">
        <f>IF(설문!X46="","",IFERROR(VALUE(설문!X46),""))</f>
        <v/>
      </c>
      <c r="Y33">
        <f>IF(설문!Y46="","",IFERROR(VALUE(설문!Y46),""))</f>
        <v/>
      </c>
      <c r="Z33">
        <f>IF(설문!Z46="","",IFERROR(VALUE(설문!Z46),""))</f>
        <v/>
      </c>
      <c r="AA33">
        <f>IF(설문!AA46="","",IFERROR(VALUE(설문!AA46),""))</f>
        <v/>
      </c>
      <c r="AB33">
        <f>IF(설문!AB46="","",IFERROR(VALUE(설문!AB46),""))</f>
        <v/>
      </c>
      <c r="AC33">
        <f>IF(설문!AC46="","",IFERROR(VALUE(설문!AC46),""))</f>
        <v/>
      </c>
      <c r="AD33">
        <f>IF(설문!AD46="","",IFERROR(VALUE(설문!AD46),""))</f>
        <v/>
      </c>
      <c r="AE33">
        <f>IF(설문!AE46="","",IFERROR(VALUE(설문!AE46),""))</f>
        <v/>
      </c>
      <c r="AF33">
        <f>IF(설문!AF46="","",IFERROR(VALUE(설문!AF46),""))</f>
        <v/>
      </c>
      <c r="AG33">
        <f>IF(설문!AG46="","",IFERROR(VALUE(설문!AG46),""))</f>
        <v/>
      </c>
      <c r="AH33">
        <f>IF(설문!AH46="","",IFERROR(VALUE(설문!AH46),""))</f>
        <v/>
      </c>
      <c r="AI33">
        <f>IF(설문!AI46="","",IFERROR(VALUE(설문!AI46),""))</f>
        <v/>
      </c>
      <c r="AJ33">
        <f>IF(설문!AJ46="","",IFERROR(VALUE(설문!AJ46),""))</f>
        <v/>
      </c>
      <c r="AK33">
        <f>IF(설문!AK46="","",IFERROR(VALUE(설문!AK46),""))</f>
        <v/>
      </c>
      <c r="AL33">
        <f>IF(설문!AL46="","",IFERROR(VALUE(설문!AL46),""))</f>
        <v/>
      </c>
      <c r="AM33">
        <f>IF(설문!AM46="","",IFERROR(VALUE(설문!AM46),""))</f>
        <v/>
      </c>
      <c r="AN33">
        <f>IF(설문!AN46="","",IFERROR(VALUE(설문!AN46),""))</f>
        <v/>
      </c>
      <c r="AO33">
        <f>IF(설문!AO46="","",IFERROR(VALUE(설문!AO46),""))</f>
        <v/>
      </c>
      <c r="AP33">
        <f>IF(설문!AP46="","",IFERROR(VALUE(설문!AP46),""))</f>
        <v/>
      </c>
      <c r="AQ33">
        <f>IF(설문!AQ46="","",IFERROR(VALUE(설문!AQ46),""))</f>
        <v/>
      </c>
      <c r="AR33">
        <f>IF(설문!AR46="","",IFERROR(VALUE(설문!AR46),""))</f>
        <v/>
      </c>
      <c r="AS33">
        <f>IF(설문!AS46="","",IFERROR(VALUE(설문!AS46),""))</f>
        <v/>
      </c>
      <c r="AT33">
        <f>IF(설문!AT46="","",IFERROR(VALUE(설문!AT46),""))</f>
        <v/>
      </c>
      <c r="AU33">
        <f>IF(설문!AU46="","",IFERROR(VALUE(설문!AU46),""))</f>
        <v/>
      </c>
      <c r="AV33">
        <f>IF(설문!AV46="","",IFERROR(VALUE(설문!AV46),""))</f>
        <v/>
      </c>
      <c r="AW33">
        <f>IF(설문!AW46="","",IFERROR(VALUE(설문!AW46),""))</f>
        <v/>
      </c>
      <c r="AX33">
        <f>IF(설문!AX46="","",IFERROR(VALUE(설문!AX46),""))</f>
        <v/>
      </c>
      <c r="AY33">
        <f>IF(설문!AY46="","",IFERROR(VALUE(설문!AY46),""))</f>
        <v/>
      </c>
      <c r="AZ33">
        <f>IF(설문!AZ46="","",IFERROR(VALUE(설문!AZ46),""))</f>
        <v/>
      </c>
      <c r="BA33">
        <f>IF(설문!BA46="","",IFERROR(VALUE(설문!BA46),""))</f>
        <v/>
      </c>
      <c r="BB33">
        <f>IF(설문!BB46="","",IFERROR(VALUE(설문!BB46),""))</f>
        <v/>
      </c>
    </row>
    <row r="34">
      <c r="A34" s="16" t="inlineStr">
        <is>
          <t>Q21_4</t>
        </is>
      </c>
      <c r="B34" s="16" t="inlineStr">
        <is>
          <t>5점척도</t>
        </is>
      </c>
      <c r="E34">
        <f>IF(설문!E47="","",IFERROR(VALUE(설문!E47),""))</f>
        <v/>
      </c>
      <c r="F34">
        <f>IF(설문!F47="","",IFERROR(VALUE(설문!F47),""))</f>
        <v/>
      </c>
      <c r="G34">
        <f>IF(설문!G47="","",IFERROR(VALUE(설문!G47),""))</f>
        <v/>
      </c>
      <c r="H34">
        <f>IF(설문!H47="","",IFERROR(VALUE(설문!H47),""))</f>
        <v/>
      </c>
      <c r="I34">
        <f>IF(설문!I47="","",IFERROR(VALUE(설문!I47),""))</f>
        <v/>
      </c>
      <c r="J34">
        <f>IF(설문!J47="","",IFERROR(VALUE(설문!J47),""))</f>
        <v/>
      </c>
      <c r="K34">
        <f>IF(설문!K47="","",IFERROR(VALUE(설문!K47),""))</f>
        <v/>
      </c>
      <c r="L34">
        <f>IF(설문!L47="","",IFERROR(VALUE(설문!L47),""))</f>
        <v/>
      </c>
      <c r="M34">
        <f>IF(설문!M47="","",IFERROR(VALUE(설문!M47),""))</f>
        <v/>
      </c>
      <c r="N34">
        <f>IF(설문!N47="","",IFERROR(VALUE(설문!N47),""))</f>
        <v/>
      </c>
      <c r="O34">
        <f>IF(설문!O47="","",IFERROR(VALUE(설문!O47),""))</f>
        <v/>
      </c>
      <c r="P34">
        <f>IF(설문!P47="","",IFERROR(VALUE(설문!P47),""))</f>
        <v/>
      </c>
      <c r="Q34">
        <f>IF(설문!Q47="","",IFERROR(VALUE(설문!Q47),""))</f>
        <v/>
      </c>
      <c r="R34">
        <f>IF(설문!R47="","",IFERROR(VALUE(설문!R47),""))</f>
        <v/>
      </c>
      <c r="S34">
        <f>IF(설문!S47="","",IFERROR(VALUE(설문!S47),""))</f>
        <v/>
      </c>
      <c r="T34">
        <f>IF(설문!T47="","",IFERROR(VALUE(설문!T47),""))</f>
        <v/>
      </c>
      <c r="U34">
        <f>IF(설문!U47="","",IFERROR(VALUE(설문!U47),""))</f>
        <v/>
      </c>
      <c r="V34">
        <f>IF(설문!V47="","",IFERROR(VALUE(설문!V47),""))</f>
        <v/>
      </c>
      <c r="W34">
        <f>IF(설문!W47="","",IFERROR(VALUE(설문!W47),""))</f>
        <v/>
      </c>
      <c r="X34">
        <f>IF(설문!X47="","",IFERROR(VALUE(설문!X47),""))</f>
        <v/>
      </c>
      <c r="Y34">
        <f>IF(설문!Y47="","",IFERROR(VALUE(설문!Y47),""))</f>
        <v/>
      </c>
      <c r="Z34">
        <f>IF(설문!Z47="","",IFERROR(VALUE(설문!Z47),""))</f>
        <v/>
      </c>
      <c r="AA34">
        <f>IF(설문!AA47="","",IFERROR(VALUE(설문!AA47),""))</f>
        <v/>
      </c>
      <c r="AB34">
        <f>IF(설문!AB47="","",IFERROR(VALUE(설문!AB47),""))</f>
        <v/>
      </c>
      <c r="AC34">
        <f>IF(설문!AC47="","",IFERROR(VALUE(설문!AC47),""))</f>
        <v/>
      </c>
      <c r="AD34">
        <f>IF(설문!AD47="","",IFERROR(VALUE(설문!AD47),""))</f>
        <v/>
      </c>
      <c r="AE34">
        <f>IF(설문!AE47="","",IFERROR(VALUE(설문!AE47),""))</f>
        <v/>
      </c>
      <c r="AF34">
        <f>IF(설문!AF47="","",IFERROR(VALUE(설문!AF47),""))</f>
        <v/>
      </c>
      <c r="AG34">
        <f>IF(설문!AG47="","",IFERROR(VALUE(설문!AG47),""))</f>
        <v/>
      </c>
      <c r="AH34">
        <f>IF(설문!AH47="","",IFERROR(VALUE(설문!AH47),""))</f>
        <v/>
      </c>
      <c r="AI34">
        <f>IF(설문!AI47="","",IFERROR(VALUE(설문!AI47),""))</f>
        <v/>
      </c>
      <c r="AJ34">
        <f>IF(설문!AJ47="","",IFERROR(VALUE(설문!AJ47),""))</f>
        <v/>
      </c>
      <c r="AK34">
        <f>IF(설문!AK47="","",IFERROR(VALUE(설문!AK47),""))</f>
        <v/>
      </c>
      <c r="AL34">
        <f>IF(설문!AL47="","",IFERROR(VALUE(설문!AL47),""))</f>
        <v/>
      </c>
      <c r="AM34">
        <f>IF(설문!AM47="","",IFERROR(VALUE(설문!AM47),""))</f>
        <v/>
      </c>
      <c r="AN34">
        <f>IF(설문!AN47="","",IFERROR(VALUE(설문!AN47),""))</f>
        <v/>
      </c>
      <c r="AO34">
        <f>IF(설문!AO47="","",IFERROR(VALUE(설문!AO47),""))</f>
        <v/>
      </c>
      <c r="AP34">
        <f>IF(설문!AP47="","",IFERROR(VALUE(설문!AP47),""))</f>
        <v/>
      </c>
      <c r="AQ34">
        <f>IF(설문!AQ47="","",IFERROR(VALUE(설문!AQ47),""))</f>
        <v/>
      </c>
      <c r="AR34">
        <f>IF(설문!AR47="","",IFERROR(VALUE(설문!AR47),""))</f>
        <v/>
      </c>
      <c r="AS34">
        <f>IF(설문!AS47="","",IFERROR(VALUE(설문!AS47),""))</f>
        <v/>
      </c>
      <c r="AT34">
        <f>IF(설문!AT47="","",IFERROR(VALUE(설문!AT47),""))</f>
        <v/>
      </c>
      <c r="AU34">
        <f>IF(설문!AU47="","",IFERROR(VALUE(설문!AU47),""))</f>
        <v/>
      </c>
      <c r="AV34">
        <f>IF(설문!AV47="","",IFERROR(VALUE(설문!AV47),""))</f>
        <v/>
      </c>
      <c r="AW34">
        <f>IF(설문!AW47="","",IFERROR(VALUE(설문!AW47),""))</f>
        <v/>
      </c>
      <c r="AX34">
        <f>IF(설문!AX47="","",IFERROR(VALUE(설문!AX47),""))</f>
        <v/>
      </c>
      <c r="AY34">
        <f>IF(설문!AY47="","",IFERROR(VALUE(설문!AY47),""))</f>
        <v/>
      </c>
      <c r="AZ34">
        <f>IF(설문!AZ47="","",IFERROR(VALUE(설문!AZ47),""))</f>
        <v/>
      </c>
      <c r="BA34">
        <f>IF(설문!BA47="","",IFERROR(VALUE(설문!BA47),""))</f>
        <v/>
      </c>
      <c r="BB34">
        <f>IF(설문!BB47="","",IFERROR(VALUE(설문!BB47),""))</f>
        <v/>
      </c>
    </row>
    <row r="35">
      <c r="A35" s="16" t="inlineStr">
        <is>
          <t>Q21_5</t>
        </is>
      </c>
      <c r="B35" s="16" t="inlineStr">
        <is>
          <t>5점척도</t>
        </is>
      </c>
      <c r="E35">
        <f>IF(설문!E48="","",IFERROR(VALUE(설문!E48),""))</f>
        <v/>
      </c>
      <c r="F35">
        <f>IF(설문!F48="","",IFERROR(VALUE(설문!F48),""))</f>
        <v/>
      </c>
      <c r="G35">
        <f>IF(설문!G48="","",IFERROR(VALUE(설문!G48),""))</f>
        <v/>
      </c>
      <c r="H35">
        <f>IF(설문!H48="","",IFERROR(VALUE(설문!H48),""))</f>
        <v/>
      </c>
      <c r="I35">
        <f>IF(설문!I48="","",IFERROR(VALUE(설문!I48),""))</f>
        <v/>
      </c>
      <c r="J35">
        <f>IF(설문!J48="","",IFERROR(VALUE(설문!J48),""))</f>
        <v/>
      </c>
      <c r="K35">
        <f>IF(설문!K48="","",IFERROR(VALUE(설문!K48),""))</f>
        <v/>
      </c>
      <c r="L35">
        <f>IF(설문!L48="","",IFERROR(VALUE(설문!L48),""))</f>
        <v/>
      </c>
      <c r="M35">
        <f>IF(설문!M48="","",IFERROR(VALUE(설문!M48),""))</f>
        <v/>
      </c>
      <c r="N35">
        <f>IF(설문!N48="","",IFERROR(VALUE(설문!N48),""))</f>
        <v/>
      </c>
      <c r="O35">
        <f>IF(설문!O48="","",IFERROR(VALUE(설문!O48),""))</f>
        <v/>
      </c>
      <c r="P35">
        <f>IF(설문!P48="","",IFERROR(VALUE(설문!P48),""))</f>
        <v/>
      </c>
      <c r="Q35">
        <f>IF(설문!Q48="","",IFERROR(VALUE(설문!Q48),""))</f>
        <v/>
      </c>
      <c r="R35">
        <f>IF(설문!R48="","",IFERROR(VALUE(설문!R48),""))</f>
        <v/>
      </c>
      <c r="S35">
        <f>IF(설문!S48="","",IFERROR(VALUE(설문!S48),""))</f>
        <v/>
      </c>
      <c r="T35">
        <f>IF(설문!T48="","",IFERROR(VALUE(설문!T48),""))</f>
        <v/>
      </c>
      <c r="U35">
        <f>IF(설문!U48="","",IFERROR(VALUE(설문!U48),""))</f>
        <v/>
      </c>
      <c r="V35">
        <f>IF(설문!V48="","",IFERROR(VALUE(설문!V48),""))</f>
        <v/>
      </c>
      <c r="W35">
        <f>IF(설문!W48="","",IFERROR(VALUE(설문!W48),""))</f>
        <v/>
      </c>
      <c r="X35">
        <f>IF(설문!X48="","",IFERROR(VALUE(설문!X48),""))</f>
        <v/>
      </c>
      <c r="Y35">
        <f>IF(설문!Y48="","",IFERROR(VALUE(설문!Y48),""))</f>
        <v/>
      </c>
      <c r="Z35">
        <f>IF(설문!Z48="","",IFERROR(VALUE(설문!Z48),""))</f>
        <v/>
      </c>
      <c r="AA35">
        <f>IF(설문!AA48="","",IFERROR(VALUE(설문!AA48),""))</f>
        <v/>
      </c>
      <c r="AB35">
        <f>IF(설문!AB48="","",IFERROR(VALUE(설문!AB48),""))</f>
        <v/>
      </c>
      <c r="AC35">
        <f>IF(설문!AC48="","",IFERROR(VALUE(설문!AC48),""))</f>
        <v/>
      </c>
      <c r="AD35">
        <f>IF(설문!AD48="","",IFERROR(VALUE(설문!AD48),""))</f>
        <v/>
      </c>
      <c r="AE35">
        <f>IF(설문!AE48="","",IFERROR(VALUE(설문!AE48),""))</f>
        <v/>
      </c>
      <c r="AF35">
        <f>IF(설문!AF48="","",IFERROR(VALUE(설문!AF48),""))</f>
        <v/>
      </c>
      <c r="AG35">
        <f>IF(설문!AG48="","",IFERROR(VALUE(설문!AG48),""))</f>
        <v/>
      </c>
      <c r="AH35">
        <f>IF(설문!AH48="","",IFERROR(VALUE(설문!AH48),""))</f>
        <v/>
      </c>
      <c r="AI35">
        <f>IF(설문!AI48="","",IFERROR(VALUE(설문!AI48),""))</f>
        <v/>
      </c>
      <c r="AJ35">
        <f>IF(설문!AJ48="","",IFERROR(VALUE(설문!AJ48),""))</f>
        <v/>
      </c>
      <c r="AK35">
        <f>IF(설문!AK48="","",IFERROR(VALUE(설문!AK48),""))</f>
        <v/>
      </c>
      <c r="AL35">
        <f>IF(설문!AL48="","",IFERROR(VALUE(설문!AL48),""))</f>
        <v/>
      </c>
      <c r="AM35">
        <f>IF(설문!AM48="","",IFERROR(VALUE(설문!AM48),""))</f>
        <v/>
      </c>
      <c r="AN35">
        <f>IF(설문!AN48="","",IFERROR(VALUE(설문!AN48),""))</f>
        <v/>
      </c>
      <c r="AO35">
        <f>IF(설문!AO48="","",IFERROR(VALUE(설문!AO48),""))</f>
        <v/>
      </c>
      <c r="AP35">
        <f>IF(설문!AP48="","",IFERROR(VALUE(설문!AP48),""))</f>
        <v/>
      </c>
      <c r="AQ35">
        <f>IF(설문!AQ48="","",IFERROR(VALUE(설문!AQ48),""))</f>
        <v/>
      </c>
      <c r="AR35">
        <f>IF(설문!AR48="","",IFERROR(VALUE(설문!AR48),""))</f>
        <v/>
      </c>
      <c r="AS35">
        <f>IF(설문!AS48="","",IFERROR(VALUE(설문!AS48),""))</f>
        <v/>
      </c>
      <c r="AT35">
        <f>IF(설문!AT48="","",IFERROR(VALUE(설문!AT48),""))</f>
        <v/>
      </c>
      <c r="AU35">
        <f>IF(설문!AU48="","",IFERROR(VALUE(설문!AU48),""))</f>
        <v/>
      </c>
      <c r="AV35">
        <f>IF(설문!AV48="","",IFERROR(VALUE(설문!AV48),""))</f>
        <v/>
      </c>
      <c r="AW35">
        <f>IF(설문!AW48="","",IFERROR(VALUE(설문!AW48),""))</f>
        <v/>
      </c>
      <c r="AX35">
        <f>IF(설문!AX48="","",IFERROR(VALUE(설문!AX48),""))</f>
        <v/>
      </c>
      <c r="AY35">
        <f>IF(설문!AY48="","",IFERROR(VALUE(설문!AY48),""))</f>
        <v/>
      </c>
      <c r="AZ35">
        <f>IF(설문!AZ48="","",IFERROR(VALUE(설문!AZ48),""))</f>
        <v/>
      </c>
      <c r="BA35">
        <f>IF(설문!BA48="","",IFERROR(VALUE(설문!BA48),""))</f>
        <v/>
      </c>
      <c r="BB35">
        <f>IF(설문!BB48="","",IFERROR(VALUE(설문!BB48),""))</f>
        <v/>
      </c>
    </row>
    <row r="36">
      <c r="A36" s="16" t="inlineStr">
        <is>
          <t>Q22_1</t>
        </is>
      </c>
      <c r="B36" s="16" t="inlineStr">
        <is>
          <t>5점척도</t>
        </is>
      </c>
      <c r="E36">
        <f>IF(설문!E50="","",IFERROR(VALUE(설문!E50),""))</f>
        <v/>
      </c>
      <c r="F36">
        <f>IF(설문!F50="","",IFERROR(VALUE(설문!F50),""))</f>
        <v/>
      </c>
      <c r="G36">
        <f>IF(설문!G50="","",IFERROR(VALUE(설문!G50),""))</f>
        <v/>
      </c>
      <c r="H36">
        <f>IF(설문!H50="","",IFERROR(VALUE(설문!H50),""))</f>
        <v/>
      </c>
      <c r="I36">
        <f>IF(설문!I50="","",IFERROR(VALUE(설문!I50),""))</f>
        <v/>
      </c>
      <c r="J36">
        <f>IF(설문!J50="","",IFERROR(VALUE(설문!J50),""))</f>
        <v/>
      </c>
      <c r="K36">
        <f>IF(설문!K50="","",IFERROR(VALUE(설문!K50),""))</f>
        <v/>
      </c>
      <c r="L36">
        <f>IF(설문!L50="","",IFERROR(VALUE(설문!L50),""))</f>
        <v/>
      </c>
      <c r="M36">
        <f>IF(설문!M50="","",IFERROR(VALUE(설문!M50),""))</f>
        <v/>
      </c>
      <c r="N36">
        <f>IF(설문!N50="","",IFERROR(VALUE(설문!N50),""))</f>
        <v/>
      </c>
      <c r="O36">
        <f>IF(설문!O50="","",IFERROR(VALUE(설문!O50),""))</f>
        <v/>
      </c>
      <c r="P36">
        <f>IF(설문!P50="","",IFERROR(VALUE(설문!P50),""))</f>
        <v/>
      </c>
      <c r="Q36">
        <f>IF(설문!Q50="","",IFERROR(VALUE(설문!Q50),""))</f>
        <v/>
      </c>
      <c r="R36">
        <f>IF(설문!R50="","",IFERROR(VALUE(설문!R50),""))</f>
        <v/>
      </c>
      <c r="S36">
        <f>IF(설문!S50="","",IFERROR(VALUE(설문!S50),""))</f>
        <v/>
      </c>
      <c r="T36">
        <f>IF(설문!T50="","",IFERROR(VALUE(설문!T50),""))</f>
        <v/>
      </c>
      <c r="U36">
        <f>IF(설문!U50="","",IFERROR(VALUE(설문!U50),""))</f>
        <v/>
      </c>
      <c r="V36">
        <f>IF(설문!V50="","",IFERROR(VALUE(설문!V50),""))</f>
        <v/>
      </c>
      <c r="W36">
        <f>IF(설문!W50="","",IFERROR(VALUE(설문!W50),""))</f>
        <v/>
      </c>
      <c r="X36">
        <f>IF(설문!X50="","",IFERROR(VALUE(설문!X50),""))</f>
        <v/>
      </c>
      <c r="Y36">
        <f>IF(설문!Y50="","",IFERROR(VALUE(설문!Y50),""))</f>
        <v/>
      </c>
      <c r="Z36">
        <f>IF(설문!Z50="","",IFERROR(VALUE(설문!Z50),""))</f>
        <v/>
      </c>
      <c r="AA36">
        <f>IF(설문!AA50="","",IFERROR(VALUE(설문!AA50),""))</f>
        <v/>
      </c>
      <c r="AB36">
        <f>IF(설문!AB50="","",IFERROR(VALUE(설문!AB50),""))</f>
        <v/>
      </c>
      <c r="AC36">
        <f>IF(설문!AC50="","",IFERROR(VALUE(설문!AC50),""))</f>
        <v/>
      </c>
      <c r="AD36">
        <f>IF(설문!AD50="","",IFERROR(VALUE(설문!AD50),""))</f>
        <v/>
      </c>
      <c r="AE36">
        <f>IF(설문!AE50="","",IFERROR(VALUE(설문!AE50),""))</f>
        <v/>
      </c>
      <c r="AF36">
        <f>IF(설문!AF50="","",IFERROR(VALUE(설문!AF50),""))</f>
        <v/>
      </c>
      <c r="AG36">
        <f>IF(설문!AG50="","",IFERROR(VALUE(설문!AG50),""))</f>
        <v/>
      </c>
      <c r="AH36">
        <f>IF(설문!AH50="","",IFERROR(VALUE(설문!AH50),""))</f>
        <v/>
      </c>
      <c r="AI36">
        <f>IF(설문!AI50="","",IFERROR(VALUE(설문!AI50),""))</f>
        <v/>
      </c>
      <c r="AJ36">
        <f>IF(설문!AJ50="","",IFERROR(VALUE(설문!AJ50),""))</f>
        <v/>
      </c>
      <c r="AK36">
        <f>IF(설문!AK50="","",IFERROR(VALUE(설문!AK50),""))</f>
        <v/>
      </c>
      <c r="AL36">
        <f>IF(설문!AL50="","",IFERROR(VALUE(설문!AL50),""))</f>
        <v/>
      </c>
      <c r="AM36">
        <f>IF(설문!AM50="","",IFERROR(VALUE(설문!AM50),""))</f>
        <v/>
      </c>
      <c r="AN36">
        <f>IF(설문!AN50="","",IFERROR(VALUE(설문!AN50),""))</f>
        <v/>
      </c>
      <c r="AO36">
        <f>IF(설문!AO50="","",IFERROR(VALUE(설문!AO50),""))</f>
        <v/>
      </c>
      <c r="AP36">
        <f>IF(설문!AP50="","",IFERROR(VALUE(설문!AP50),""))</f>
        <v/>
      </c>
      <c r="AQ36">
        <f>IF(설문!AQ50="","",IFERROR(VALUE(설문!AQ50),""))</f>
        <v/>
      </c>
      <c r="AR36">
        <f>IF(설문!AR50="","",IFERROR(VALUE(설문!AR50),""))</f>
        <v/>
      </c>
      <c r="AS36">
        <f>IF(설문!AS50="","",IFERROR(VALUE(설문!AS50),""))</f>
        <v/>
      </c>
      <c r="AT36">
        <f>IF(설문!AT50="","",IFERROR(VALUE(설문!AT50),""))</f>
        <v/>
      </c>
      <c r="AU36">
        <f>IF(설문!AU50="","",IFERROR(VALUE(설문!AU50),""))</f>
        <v/>
      </c>
      <c r="AV36">
        <f>IF(설문!AV50="","",IFERROR(VALUE(설문!AV50),""))</f>
        <v/>
      </c>
      <c r="AW36">
        <f>IF(설문!AW50="","",IFERROR(VALUE(설문!AW50),""))</f>
        <v/>
      </c>
      <c r="AX36">
        <f>IF(설문!AX50="","",IFERROR(VALUE(설문!AX50),""))</f>
        <v/>
      </c>
      <c r="AY36">
        <f>IF(설문!AY50="","",IFERROR(VALUE(설문!AY50),""))</f>
        <v/>
      </c>
      <c r="AZ36">
        <f>IF(설문!AZ50="","",IFERROR(VALUE(설문!AZ50),""))</f>
        <v/>
      </c>
      <c r="BA36">
        <f>IF(설문!BA50="","",IFERROR(VALUE(설문!BA50),""))</f>
        <v/>
      </c>
      <c r="BB36">
        <f>IF(설문!BB50="","",IFERROR(VALUE(설문!BB50),""))</f>
        <v/>
      </c>
    </row>
    <row r="37">
      <c r="A37" s="16" t="inlineStr">
        <is>
          <t>Q22_2</t>
        </is>
      </c>
      <c r="B37" s="16" t="inlineStr">
        <is>
          <t>5점척도</t>
        </is>
      </c>
      <c r="E37">
        <f>IF(설문!E51="","",IFERROR(VALUE(설문!E51),""))</f>
        <v/>
      </c>
      <c r="F37">
        <f>IF(설문!F51="","",IFERROR(VALUE(설문!F51),""))</f>
        <v/>
      </c>
      <c r="G37">
        <f>IF(설문!G51="","",IFERROR(VALUE(설문!G51),""))</f>
        <v/>
      </c>
      <c r="H37">
        <f>IF(설문!H51="","",IFERROR(VALUE(설문!H51),""))</f>
        <v/>
      </c>
      <c r="I37">
        <f>IF(설문!I51="","",IFERROR(VALUE(설문!I51),""))</f>
        <v/>
      </c>
      <c r="J37">
        <f>IF(설문!J51="","",IFERROR(VALUE(설문!J51),""))</f>
        <v/>
      </c>
      <c r="K37">
        <f>IF(설문!K51="","",IFERROR(VALUE(설문!K51),""))</f>
        <v/>
      </c>
      <c r="L37">
        <f>IF(설문!L51="","",IFERROR(VALUE(설문!L51),""))</f>
        <v/>
      </c>
      <c r="M37">
        <f>IF(설문!M51="","",IFERROR(VALUE(설문!M51),""))</f>
        <v/>
      </c>
      <c r="N37">
        <f>IF(설문!N51="","",IFERROR(VALUE(설문!N51),""))</f>
        <v/>
      </c>
      <c r="O37">
        <f>IF(설문!O51="","",IFERROR(VALUE(설문!O51),""))</f>
        <v/>
      </c>
      <c r="P37">
        <f>IF(설문!P51="","",IFERROR(VALUE(설문!P51),""))</f>
        <v/>
      </c>
      <c r="Q37">
        <f>IF(설문!Q51="","",IFERROR(VALUE(설문!Q51),""))</f>
        <v/>
      </c>
      <c r="R37">
        <f>IF(설문!R51="","",IFERROR(VALUE(설문!R51),""))</f>
        <v/>
      </c>
      <c r="S37">
        <f>IF(설문!S51="","",IFERROR(VALUE(설문!S51),""))</f>
        <v/>
      </c>
      <c r="T37">
        <f>IF(설문!T51="","",IFERROR(VALUE(설문!T51),""))</f>
        <v/>
      </c>
      <c r="U37">
        <f>IF(설문!U51="","",IFERROR(VALUE(설문!U51),""))</f>
        <v/>
      </c>
      <c r="V37">
        <f>IF(설문!V51="","",IFERROR(VALUE(설문!V51),""))</f>
        <v/>
      </c>
      <c r="W37">
        <f>IF(설문!W51="","",IFERROR(VALUE(설문!W51),""))</f>
        <v/>
      </c>
      <c r="X37">
        <f>IF(설문!X51="","",IFERROR(VALUE(설문!X51),""))</f>
        <v/>
      </c>
      <c r="Y37">
        <f>IF(설문!Y51="","",IFERROR(VALUE(설문!Y51),""))</f>
        <v/>
      </c>
      <c r="Z37">
        <f>IF(설문!Z51="","",IFERROR(VALUE(설문!Z51),""))</f>
        <v/>
      </c>
      <c r="AA37">
        <f>IF(설문!AA51="","",IFERROR(VALUE(설문!AA51),""))</f>
        <v/>
      </c>
      <c r="AB37">
        <f>IF(설문!AB51="","",IFERROR(VALUE(설문!AB51),""))</f>
        <v/>
      </c>
      <c r="AC37">
        <f>IF(설문!AC51="","",IFERROR(VALUE(설문!AC51),""))</f>
        <v/>
      </c>
      <c r="AD37">
        <f>IF(설문!AD51="","",IFERROR(VALUE(설문!AD51),""))</f>
        <v/>
      </c>
      <c r="AE37">
        <f>IF(설문!AE51="","",IFERROR(VALUE(설문!AE51),""))</f>
        <v/>
      </c>
      <c r="AF37">
        <f>IF(설문!AF51="","",IFERROR(VALUE(설문!AF51),""))</f>
        <v/>
      </c>
      <c r="AG37">
        <f>IF(설문!AG51="","",IFERROR(VALUE(설문!AG51),""))</f>
        <v/>
      </c>
      <c r="AH37">
        <f>IF(설문!AH51="","",IFERROR(VALUE(설문!AH51),""))</f>
        <v/>
      </c>
      <c r="AI37">
        <f>IF(설문!AI51="","",IFERROR(VALUE(설문!AI51),""))</f>
        <v/>
      </c>
      <c r="AJ37">
        <f>IF(설문!AJ51="","",IFERROR(VALUE(설문!AJ51),""))</f>
        <v/>
      </c>
      <c r="AK37">
        <f>IF(설문!AK51="","",IFERROR(VALUE(설문!AK51),""))</f>
        <v/>
      </c>
      <c r="AL37">
        <f>IF(설문!AL51="","",IFERROR(VALUE(설문!AL51),""))</f>
        <v/>
      </c>
      <c r="AM37">
        <f>IF(설문!AM51="","",IFERROR(VALUE(설문!AM51),""))</f>
        <v/>
      </c>
      <c r="AN37">
        <f>IF(설문!AN51="","",IFERROR(VALUE(설문!AN51),""))</f>
        <v/>
      </c>
      <c r="AO37">
        <f>IF(설문!AO51="","",IFERROR(VALUE(설문!AO51),""))</f>
        <v/>
      </c>
      <c r="AP37">
        <f>IF(설문!AP51="","",IFERROR(VALUE(설문!AP51),""))</f>
        <v/>
      </c>
      <c r="AQ37">
        <f>IF(설문!AQ51="","",IFERROR(VALUE(설문!AQ51),""))</f>
        <v/>
      </c>
      <c r="AR37">
        <f>IF(설문!AR51="","",IFERROR(VALUE(설문!AR51),""))</f>
        <v/>
      </c>
      <c r="AS37">
        <f>IF(설문!AS51="","",IFERROR(VALUE(설문!AS51),""))</f>
        <v/>
      </c>
      <c r="AT37">
        <f>IF(설문!AT51="","",IFERROR(VALUE(설문!AT51),""))</f>
        <v/>
      </c>
      <c r="AU37">
        <f>IF(설문!AU51="","",IFERROR(VALUE(설문!AU51),""))</f>
        <v/>
      </c>
      <c r="AV37">
        <f>IF(설문!AV51="","",IFERROR(VALUE(설문!AV51),""))</f>
        <v/>
      </c>
      <c r="AW37">
        <f>IF(설문!AW51="","",IFERROR(VALUE(설문!AW51),""))</f>
        <v/>
      </c>
      <c r="AX37">
        <f>IF(설문!AX51="","",IFERROR(VALUE(설문!AX51),""))</f>
        <v/>
      </c>
      <c r="AY37">
        <f>IF(설문!AY51="","",IFERROR(VALUE(설문!AY51),""))</f>
        <v/>
      </c>
      <c r="AZ37">
        <f>IF(설문!AZ51="","",IFERROR(VALUE(설문!AZ51),""))</f>
        <v/>
      </c>
      <c r="BA37">
        <f>IF(설문!BA51="","",IFERROR(VALUE(설문!BA51),""))</f>
        <v/>
      </c>
      <c r="BB37">
        <f>IF(설문!BB51="","",IFERROR(VALUE(설문!BB51),""))</f>
        <v/>
      </c>
    </row>
    <row r="38">
      <c r="A38" s="16" t="inlineStr">
        <is>
          <t>Q22_3</t>
        </is>
      </c>
      <c r="B38" s="16" t="inlineStr">
        <is>
          <t>5점척도</t>
        </is>
      </c>
      <c r="E38">
        <f>IF(설문!E52="","",IFERROR(VALUE(설문!E52),""))</f>
        <v/>
      </c>
      <c r="F38">
        <f>IF(설문!F52="","",IFERROR(VALUE(설문!F52),""))</f>
        <v/>
      </c>
      <c r="G38">
        <f>IF(설문!G52="","",IFERROR(VALUE(설문!G52),""))</f>
        <v/>
      </c>
      <c r="H38">
        <f>IF(설문!H52="","",IFERROR(VALUE(설문!H52),""))</f>
        <v/>
      </c>
      <c r="I38">
        <f>IF(설문!I52="","",IFERROR(VALUE(설문!I52),""))</f>
        <v/>
      </c>
      <c r="J38">
        <f>IF(설문!J52="","",IFERROR(VALUE(설문!J52),""))</f>
        <v/>
      </c>
      <c r="K38">
        <f>IF(설문!K52="","",IFERROR(VALUE(설문!K52),""))</f>
        <v/>
      </c>
      <c r="L38">
        <f>IF(설문!L52="","",IFERROR(VALUE(설문!L52),""))</f>
        <v/>
      </c>
      <c r="M38">
        <f>IF(설문!M52="","",IFERROR(VALUE(설문!M52),""))</f>
        <v/>
      </c>
      <c r="N38">
        <f>IF(설문!N52="","",IFERROR(VALUE(설문!N52),""))</f>
        <v/>
      </c>
      <c r="O38">
        <f>IF(설문!O52="","",IFERROR(VALUE(설문!O52),""))</f>
        <v/>
      </c>
      <c r="P38">
        <f>IF(설문!P52="","",IFERROR(VALUE(설문!P52),""))</f>
        <v/>
      </c>
      <c r="Q38">
        <f>IF(설문!Q52="","",IFERROR(VALUE(설문!Q52),""))</f>
        <v/>
      </c>
      <c r="R38">
        <f>IF(설문!R52="","",IFERROR(VALUE(설문!R52),""))</f>
        <v/>
      </c>
      <c r="S38">
        <f>IF(설문!S52="","",IFERROR(VALUE(설문!S52),""))</f>
        <v/>
      </c>
      <c r="T38">
        <f>IF(설문!T52="","",IFERROR(VALUE(설문!T52),""))</f>
        <v/>
      </c>
      <c r="U38">
        <f>IF(설문!U52="","",IFERROR(VALUE(설문!U52),""))</f>
        <v/>
      </c>
      <c r="V38">
        <f>IF(설문!V52="","",IFERROR(VALUE(설문!V52),""))</f>
        <v/>
      </c>
      <c r="W38">
        <f>IF(설문!W52="","",IFERROR(VALUE(설문!W52),""))</f>
        <v/>
      </c>
      <c r="X38">
        <f>IF(설문!X52="","",IFERROR(VALUE(설문!X52),""))</f>
        <v/>
      </c>
      <c r="Y38">
        <f>IF(설문!Y52="","",IFERROR(VALUE(설문!Y52),""))</f>
        <v/>
      </c>
      <c r="Z38">
        <f>IF(설문!Z52="","",IFERROR(VALUE(설문!Z52),""))</f>
        <v/>
      </c>
      <c r="AA38">
        <f>IF(설문!AA52="","",IFERROR(VALUE(설문!AA52),""))</f>
        <v/>
      </c>
      <c r="AB38">
        <f>IF(설문!AB52="","",IFERROR(VALUE(설문!AB52),""))</f>
        <v/>
      </c>
      <c r="AC38">
        <f>IF(설문!AC52="","",IFERROR(VALUE(설문!AC52),""))</f>
        <v/>
      </c>
      <c r="AD38">
        <f>IF(설문!AD52="","",IFERROR(VALUE(설문!AD52),""))</f>
        <v/>
      </c>
      <c r="AE38">
        <f>IF(설문!AE52="","",IFERROR(VALUE(설문!AE52),""))</f>
        <v/>
      </c>
      <c r="AF38">
        <f>IF(설문!AF52="","",IFERROR(VALUE(설문!AF52),""))</f>
        <v/>
      </c>
      <c r="AG38">
        <f>IF(설문!AG52="","",IFERROR(VALUE(설문!AG52),""))</f>
        <v/>
      </c>
      <c r="AH38">
        <f>IF(설문!AH52="","",IFERROR(VALUE(설문!AH52),""))</f>
        <v/>
      </c>
      <c r="AI38">
        <f>IF(설문!AI52="","",IFERROR(VALUE(설문!AI52),""))</f>
        <v/>
      </c>
      <c r="AJ38">
        <f>IF(설문!AJ52="","",IFERROR(VALUE(설문!AJ52),""))</f>
        <v/>
      </c>
      <c r="AK38">
        <f>IF(설문!AK52="","",IFERROR(VALUE(설문!AK52),""))</f>
        <v/>
      </c>
      <c r="AL38">
        <f>IF(설문!AL52="","",IFERROR(VALUE(설문!AL52),""))</f>
        <v/>
      </c>
      <c r="AM38">
        <f>IF(설문!AM52="","",IFERROR(VALUE(설문!AM52),""))</f>
        <v/>
      </c>
      <c r="AN38">
        <f>IF(설문!AN52="","",IFERROR(VALUE(설문!AN52),""))</f>
        <v/>
      </c>
      <c r="AO38">
        <f>IF(설문!AO52="","",IFERROR(VALUE(설문!AO52),""))</f>
        <v/>
      </c>
      <c r="AP38">
        <f>IF(설문!AP52="","",IFERROR(VALUE(설문!AP52),""))</f>
        <v/>
      </c>
      <c r="AQ38">
        <f>IF(설문!AQ52="","",IFERROR(VALUE(설문!AQ52),""))</f>
        <v/>
      </c>
      <c r="AR38">
        <f>IF(설문!AR52="","",IFERROR(VALUE(설문!AR52),""))</f>
        <v/>
      </c>
      <c r="AS38">
        <f>IF(설문!AS52="","",IFERROR(VALUE(설문!AS52),""))</f>
        <v/>
      </c>
      <c r="AT38">
        <f>IF(설문!AT52="","",IFERROR(VALUE(설문!AT52),""))</f>
        <v/>
      </c>
      <c r="AU38">
        <f>IF(설문!AU52="","",IFERROR(VALUE(설문!AU52),""))</f>
        <v/>
      </c>
      <c r="AV38">
        <f>IF(설문!AV52="","",IFERROR(VALUE(설문!AV52),""))</f>
        <v/>
      </c>
      <c r="AW38">
        <f>IF(설문!AW52="","",IFERROR(VALUE(설문!AW52),""))</f>
        <v/>
      </c>
      <c r="AX38">
        <f>IF(설문!AX52="","",IFERROR(VALUE(설문!AX52),""))</f>
        <v/>
      </c>
      <c r="AY38">
        <f>IF(설문!AY52="","",IFERROR(VALUE(설문!AY52),""))</f>
        <v/>
      </c>
      <c r="AZ38">
        <f>IF(설문!AZ52="","",IFERROR(VALUE(설문!AZ52),""))</f>
        <v/>
      </c>
      <c r="BA38">
        <f>IF(설문!BA52="","",IFERROR(VALUE(설문!BA52),""))</f>
        <v/>
      </c>
      <c r="BB38">
        <f>IF(설문!BB52="","",IFERROR(VALUE(설문!BB52),""))</f>
        <v/>
      </c>
    </row>
    <row r="39">
      <c r="A39" s="16" t="inlineStr">
        <is>
          <t>Q22_4</t>
        </is>
      </c>
      <c r="B39" s="16" t="inlineStr">
        <is>
          <t>5점척도</t>
        </is>
      </c>
      <c r="E39">
        <f>IF(설문!E53="","",IFERROR(VALUE(설문!E53),""))</f>
        <v/>
      </c>
      <c r="F39">
        <f>IF(설문!F53="","",IFERROR(VALUE(설문!F53),""))</f>
        <v/>
      </c>
      <c r="G39">
        <f>IF(설문!G53="","",IFERROR(VALUE(설문!G53),""))</f>
        <v/>
      </c>
      <c r="H39">
        <f>IF(설문!H53="","",IFERROR(VALUE(설문!H53),""))</f>
        <v/>
      </c>
      <c r="I39">
        <f>IF(설문!I53="","",IFERROR(VALUE(설문!I53),""))</f>
        <v/>
      </c>
      <c r="J39">
        <f>IF(설문!J53="","",IFERROR(VALUE(설문!J53),""))</f>
        <v/>
      </c>
      <c r="K39">
        <f>IF(설문!K53="","",IFERROR(VALUE(설문!K53),""))</f>
        <v/>
      </c>
      <c r="L39">
        <f>IF(설문!L53="","",IFERROR(VALUE(설문!L53),""))</f>
        <v/>
      </c>
      <c r="M39">
        <f>IF(설문!M53="","",IFERROR(VALUE(설문!M53),""))</f>
        <v/>
      </c>
      <c r="N39">
        <f>IF(설문!N53="","",IFERROR(VALUE(설문!N53),""))</f>
        <v/>
      </c>
      <c r="O39">
        <f>IF(설문!O53="","",IFERROR(VALUE(설문!O53),""))</f>
        <v/>
      </c>
      <c r="P39">
        <f>IF(설문!P53="","",IFERROR(VALUE(설문!P53),""))</f>
        <v/>
      </c>
      <c r="Q39">
        <f>IF(설문!Q53="","",IFERROR(VALUE(설문!Q53),""))</f>
        <v/>
      </c>
      <c r="R39">
        <f>IF(설문!R53="","",IFERROR(VALUE(설문!R53),""))</f>
        <v/>
      </c>
      <c r="S39">
        <f>IF(설문!S53="","",IFERROR(VALUE(설문!S53),""))</f>
        <v/>
      </c>
      <c r="T39">
        <f>IF(설문!T53="","",IFERROR(VALUE(설문!T53),""))</f>
        <v/>
      </c>
      <c r="U39">
        <f>IF(설문!U53="","",IFERROR(VALUE(설문!U53),""))</f>
        <v/>
      </c>
      <c r="V39">
        <f>IF(설문!V53="","",IFERROR(VALUE(설문!V53),""))</f>
        <v/>
      </c>
      <c r="W39">
        <f>IF(설문!W53="","",IFERROR(VALUE(설문!W53),""))</f>
        <v/>
      </c>
      <c r="X39">
        <f>IF(설문!X53="","",IFERROR(VALUE(설문!X53),""))</f>
        <v/>
      </c>
      <c r="Y39">
        <f>IF(설문!Y53="","",IFERROR(VALUE(설문!Y53),""))</f>
        <v/>
      </c>
      <c r="Z39">
        <f>IF(설문!Z53="","",IFERROR(VALUE(설문!Z53),""))</f>
        <v/>
      </c>
      <c r="AA39">
        <f>IF(설문!AA53="","",IFERROR(VALUE(설문!AA53),""))</f>
        <v/>
      </c>
      <c r="AB39">
        <f>IF(설문!AB53="","",IFERROR(VALUE(설문!AB53),""))</f>
        <v/>
      </c>
      <c r="AC39">
        <f>IF(설문!AC53="","",IFERROR(VALUE(설문!AC53),""))</f>
        <v/>
      </c>
      <c r="AD39">
        <f>IF(설문!AD53="","",IFERROR(VALUE(설문!AD53),""))</f>
        <v/>
      </c>
      <c r="AE39">
        <f>IF(설문!AE53="","",IFERROR(VALUE(설문!AE53),""))</f>
        <v/>
      </c>
      <c r="AF39">
        <f>IF(설문!AF53="","",IFERROR(VALUE(설문!AF53),""))</f>
        <v/>
      </c>
      <c r="AG39">
        <f>IF(설문!AG53="","",IFERROR(VALUE(설문!AG53),""))</f>
        <v/>
      </c>
      <c r="AH39">
        <f>IF(설문!AH53="","",IFERROR(VALUE(설문!AH53),""))</f>
        <v/>
      </c>
      <c r="AI39">
        <f>IF(설문!AI53="","",IFERROR(VALUE(설문!AI53),""))</f>
        <v/>
      </c>
      <c r="AJ39">
        <f>IF(설문!AJ53="","",IFERROR(VALUE(설문!AJ53),""))</f>
        <v/>
      </c>
      <c r="AK39">
        <f>IF(설문!AK53="","",IFERROR(VALUE(설문!AK53),""))</f>
        <v/>
      </c>
      <c r="AL39">
        <f>IF(설문!AL53="","",IFERROR(VALUE(설문!AL53),""))</f>
        <v/>
      </c>
      <c r="AM39">
        <f>IF(설문!AM53="","",IFERROR(VALUE(설문!AM53),""))</f>
        <v/>
      </c>
      <c r="AN39">
        <f>IF(설문!AN53="","",IFERROR(VALUE(설문!AN53),""))</f>
        <v/>
      </c>
      <c r="AO39">
        <f>IF(설문!AO53="","",IFERROR(VALUE(설문!AO53),""))</f>
        <v/>
      </c>
      <c r="AP39">
        <f>IF(설문!AP53="","",IFERROR(VALUE(설문!AP53),""))</f>
        <v/>
      </c>
      <c r="AQ39">
        <f>IF(설문!AQ53="","",IFERROR(VALUE(설문!AQ53),""))</f>
        <v/>
      </c>
      <c r="AR39">
        <f>IF(설문!AR53="","",IFERROR(VALUE(설문!AR53),""))</f>
        <v/>
      </c>
      <c r="AS39">
        <f>IF(설문!AS53="","",IFERROR(VALUE(설문!AS53),""))</f>
        <v/>
      </c>
      <c r="AT39">
        <f>IF(설문!AT53="","",IFERROR(VALUE(설문!AT53),""))</f>
        <v/>
      </c>
      <c r="AU39">
        <f>IF(설문!AU53="","",IFERROR(VALUE(설문!AU53),""))</f>
        <v/>
      </c>
      <c r="AV39">
        <f>IF(설문!AV53="","",IFERROR(VALUE(설문!AV53),""))</f>
        <v/>
      </c>
      <c r="AW39">
        <f>IF(설문!AW53="","",IFERROR(VALUE(설문!AW53),""))</f>
        <v/>
      </c>
      <c r="AX39">
        <f>IF(설문!AX53="","",IFERROR(VALUE(설문!AX53),""))</f>
        <v/>
      </c>
      <c r="AY39">
        <f>IF(설문!AY53="","",IFERROR(VALUE(설문!AY53),""))</f>
        <v/>
      </c>
      <c r="AZ39">
        <f>IF(설문!AZ53="","",IFERROR(VALUE(설문!AZ53),""))</f>
        <v/>
      </c>
      <c r="BA39">
        <f>IF(설문!BA53="","",IFERROR(VALUE(설문!BA53),""))</f>
        <v/>
      </c>
      <c r="BB39">
        <f>IF(설문!BB53="","",IFERROR(VALUE(설문!BB53),""))</f>
        <v/>
      </c>
    </row>
    <row r="40">
      <c r="A40" s="16" t="inlineStr">
        <is>
          <t>Q23_1</t>
        </is>
      </c>
      <c r="B40" s="16" t="inlineStr">
        <is>
          <t>5점척도</t>
        </is>
      </c>
      <c r="E40">
        <f>IF(설문!E55="","",IFERROR(VALUE(설문!E55),""))</f>
        <v/>
      </c>
      <c r="F40">
        <f>IF(설문!F55="","",IFERROR(VALUE(설문!F55),""))</f>
        <v/>
      </c>
      <c r="G40">
        <f>IF(설문!G55="","",IFERROR(VALUE(설문!G55),""))</f>
        <v/>
      </c>
      <c r="H40">
        <f>IF(설문!H55="","",IFERROR(VALUE(설문!H55),""))</f>
        <v/>
      </c>
      <c r="I40">
        <f>IF(설문!I55="","",IFERROR(VALUE(설문!I55),""))</f>
        <v/>
      </c>
      <c r="J40">
        <f>IF(설문!J55="","",IFERROR(VALUE(설문!J55),""))</f>
        <v/>
      </c>
      <c r="K40">
        <f>IF(설문!K55="","",IFERROR(VALUE(설문!K55),""))</f>
        <v/>
      </c>
      <c r="L40">
        <f>IF(설문!L55="","",IFERROR(VALUE(설문!L55),""))</f>
        <v/>
      </c>
      <c r="M40">
        <f>IF(설문!M55="","",IFERROR(VALUE(설문!M55),""))</f>
        <v/>
      </c>
      <c r="N40">
        <f>IF(설문!N55="","",IFERROR(VALUE(설문!N55),""))</f>
        <v/>
      </c>
      <c r="O40">
        <f>IF(설문!O55="","",IFERROR(VALUE(설문!O55),""))</f>
        <v/>
      </c>
      <c r="P40">
        <f>IF(설문!P55="","",IFERROR(VALUE(설문!P55),""))</f>
        <v/>
      </c>
      <c r="Q40">
        <f>IF(설문!Q55="","",IFERROR(VALUE(설문!Q55),""))</f>
        <v/>
      </c>
      <c r="R40">
        <f>IF(설문!R55="","",IFERROR(VALUE(설문!R55),""))</f>
        <v/>
      </c>
      <c r="S40">
        <f>IF(설문!S55="","",IFERROR(VALUE(설문!S55),""))</f>
        <v/>
      </c>
      <c r="T40">
        <f>IF(설문!T55="","",IFERROR(VALUE(설문!T55),""))</f>
        <v/>
      </c>
      <c r="U40">
        <f>IF(설문!U55="","",IFERROR(VALUE(설문!U55),""))</f>
        <v/>
      </c>
      <c r="V40">
        <f>IF(설문!V55="","",IFERROR(VALUE(설문!V55),""))</f>
        <v/>
      </c>
      <c r="W40">
        <f>IF(설문!W55="","",IFERROR(VALUE(설문!W55),""))</f>
        <v/>
      </c>
      <c r="X40">
        <f>IF(설문!X55="","",IFERROR(VALUE(설문!X55),""))</f>
        <v/>
      </c>
      <c r="Y40">
        <f>IF(설문!Y55="","",IFERROR(VALUE(설문!Y55),""))</f>
        <v/>
      </c>
      <c r="Z40">
        <f>IF(설문!Z55="","",IFERROR(VALUE(설문!Z55),""))</f>
        <v/>
      </c>
      <c r="AA40">
        <f>IF(설문!AA55="","",IFERROR(VALUE(설문!AA55),""))</f>
        <v/>
      </c>
      <c r="AB40">
        <f>IF(설문!AB55="","",IFERROR(VALUE(설문!AB55),""))</f>
        <v/>
      </c>
      <c r="AC40">
        <f>IF(설문!AC55="","",IFERROR(VALUE(설문!AC55),""))</f>
        <v/>
      </c>
      <c r="AD40">
        <f>IF(설문!AD55="","",IFERROR(VALUE(설문!AD55),""))</f>
        <v/>
      </c>
      <c r="AE40">
        <f>IF(설문!AE55="","",IFERROR(VALUE(설문!AE55),""))</f>
        <v/>
      </c>
      <c r="AF40">
        <f>IF(설문!AF55="","",IFERROR(VALUE(설문!AF55),""))</f>
        <v/>
      </c>
      <c r="AG40">
        <f>IF(설문!AG55="","",IFERROR(VALUE(설문!AG55),""))</f>
        <v/>
      </c>
      <c r="AH40">
        <f>IF(설문!AH55="","",IFERROR(VALUE(설문!AH55),""))</f>
        <v/>
      </c>
      <c r="AI40">
        <f>IF(설문!AI55="","",IFERROR(VALUE(설문!AI55),""))</f>
        <v/>
      </c>
      <c r="AJ40">
        <f>IF(설문!AJ55="","",IFERROR(VALUE(설문!AJ55),""))</f>
        <v/>
      </c>
      <c r="AK40">
        <f>IF(설문!AK55="","",IFERROR(VALUE(설문!AK55),""))</f>
        <v/>
      </c>
      <c r="AL40">
        <f>IF(설문!AL55="","",IFERROR(VALUE(설문!AL55),""))</f>
        <v/>
      </c>
      <c r="AM40">
        <f>IF(설문!AM55="","",IFERROR(VALUE(설문!AM55),""))</f>
        <v/>
      </c>
      <c r="AN40">
        <f>IF(설문!AN55="","",IFERROR(VALUE(설문!AN55),""))</f>
        <v/>
      </c>
      <c r="AO40">
        <f>IF(설문!AO55="","",IFERROR(VALUE(설문!AO55),""))</f>
        <v/>
      </c>
      <c r="AP40">
        <f>IF(설문!AP55="","",IFERROR(VALUE(설문!AP55),""))</f>
        <v/>
      </c>
      <c r="AQ40">
        <f>IF(설문!AQ55="","",IFERROR(VALUE(설문!AQ55),""))</f>
        <v/>
      </c>
      <c r="AR40">
        <f>IF(설문!AR55="","",IFERROR(VALUE(설문!AR55),""))</f>
        <v/>
      </c>
      <c r="AS40">
        <f>IF(설문!AS55="","",IFERROR(VALUE(설문!AS55),""))</f>
        <v/>
      </c>
      <c r="AT40">
        <f>IF(설문!AT55="","",IFERROR(VALUE(설문!AT55),""))</f>
        <v/>
      </c>
      <c r="AU40">
        <f>IF(설문!AU55="","",IFERROR(VALUE(설문!AU55),""))</f>
        <v/>
      </c>
      <c r="AV40">
        <f>IF(설문!AV55="","",IFERROR(VALUE(설문!AV55),""))</f>
        <v/>
      </c>
      <c r="AW40">
        <f>IF(설문!AW55="","",IFERROR(VALUE(설문!AW55),""))</f>
        <v/>
      </c>
      <c r="AX40">
        <f>IF(설문!AX55="","",IFERROR(VALUE(설문!AX55),""))</f>
        <v/>
      </c>
      <c r="AY40">
        <f>IF(설문!AY55="","",IFERROR(VALUE(설문!AY55),""))</f>
        <v/>
      </c>
      <c r="AZ40">
        <f>IF(설문!AZ55="","",IFERROR(VALUE(설문!AZ55),""))</f>
        <v/>
      </c>
      <c r="BA40">
        <f>IF(설문!BA55="","",IFERROR(VALUE(설문!BA55),""))</f>
        <v/>
      </c>
      <c r="BB40">
        <f>IF(설문!BB55="","",IFERROR(VALUE(설문!BB55),""))</f>
        <v/>
      </c>
    </row>
    <row r="41">
      <c r="A41" s="16" t="inlineStr">
        <is>
          <t>Q23_2</t>
        </is>
      </c>
      <c r="B41" s="16" t="inlineStr">
        <is>
          <t>5점척도</t>
        </is>
      </c>
      <c r="E41">
        <f>IF(설문!E56="","",IFERROR(VALUE(설문!E56),""))</f>
        <v/>
      </c>
      <c r="F41">
        <f>IF(설문!F56="","",IFERROR(VALUE(설문!F56),""))</f>
        <v/>
      </c>
      <c r="G41">
        <f>IF(설문!G56="","",IFERROR(VALUE(설문!G56),""))</f>
        <v/>
      </c>
      <c r="H41">
        <f>IF(설문!H56="","",IFERROR(VALUE(설문!H56),""))</f>
        <v/>
      </c>
      <c r="I41">
        <f>IF(설문!I56="","",IFERROR(VALUE(설문!I56),""))</f>
        <v/>
      </c>
      <c r="J41">
        <f>IF(설문!J56="","",IFERROR(VALUE(설문!J56),""))</f>
        <v/>
      </c>
      <c r="K41">
        <f>IF(설문!K56="","",IFERROR(VALUE(설문!K56),""))</f>
        <v/>
      </c>
      <c r="L41">
        <f>IF(설문!L56="","",IFERROR(VALUE(설문!L56),""))</f>
        <v/>
      </c>
      <c r="M41">
        <f>IF(설문!M56="","",IFERROR(VALUE(설문!M56),""))</f>
        <v/>
      </c>
      <c r="N41">
        <f>IF(설문!N56="","",IFERROR(VALUE(설문!N56),""))</f>
        <v/>
      </c>
      <c r="O41">
        <f>IF(설문!O56="","",IFERROR(VALUE(설문!O56),""))</f>
        <v/>
      </c>
      <c r="P41">
        <f>IF(설문!P56="","",IFERROR(VALUE(설문!P56),""))</f>
        <v/>
      </c>
      <c r="Q41">
        <f>IF(설문!Q56="","",IFERROR(VALUE(설문!Q56),""))</f>
        <v/>
      </c>
      <c r="R41">
        <f>IF(설문!R56="","",IFERROR(VALUE(설문!R56),""))</f>
        <v/>
      </c>
      <c r="S41">
        <f>IF(설문!S56="","",IFERROR(VALUE(설문!S56),""))</f>
        <v/>
      </c>
      <c r="T41">
        <f>IF(설문!T56="","",IFERROR(VALUE(설문!T56),""))</f>
        <v/>
      </c>
      <c r="U41">
        <f>IF(설문!U56="","",IFERROR(VALUE(설문!U56),""))</f>
        <v/>
      </c>
      <c r="V41">
        <f>IF(설문!V56="","",IFERROR(VALUE(설문!V56),""))</f>
        <v/>
      </c>
      <c r="W41">
        <f>IF(설문!W56="","",IFERROR(VALUE(설문!W56),""))</f>
        <v/>
      </c>
      <c r="X41">
        <f>IF(설문!X56="","",IFERROR(VALUE(설문!X56),""))</f>
        <v/>
      </c>
      <c r="Y41">
        <f>IF(설문!Y56="","",IFERROR(VALUE(설문!Y56),""))</f>
        <v/>
      </c>
      <c r="Z41">
        <f>IF(설문!Z56="","",IFERROR(VALUE(설문!Z56),""))</f>
        <v/>
      </c>
      <c r="AA41">
        <f>IF(설문!AA56="","",IFERROR(VALUE(설문!AA56),""))</f>
        <v/>
      </c>
      <c r="AB41">
        <f>IF(설문!AB56="","",IFERROR(VALUE(설문!AB56),""))</f>
        <v/>
      </c>
      <c r="AC41">
        <f>IF(설문!AC56="","",IFERROR(VALUE(설문!AC56),""))</f>
        <v/>
      </c>
      <c r="AD41">
        <f>IF(설문!AD56="","",IFERROR(VALUE(설문!AD56),""))</f>
        <v/>
      </c>
      <c r="AE41">
        <f>IF(설문!AE56="","",IFERROR(VALUE(설문!AE56),""))</f>
        <v/>
      </c>
      <c r="AF41">
        <f>IF(설문!AF56="","",IFERROR(VALUE(설문!AF56),""))</f>
        <v/>
      </c>
      <c r="AG41">
        <f>IF(설문!AG56="","",IFERROR(VALUE(설문!AG56),""))</f>
        <v/>
      </c>
      <c r="AH41">
        <f>IF(설문!AH56="","",IFERROR(VALUE(설문!AH56),""))</f>
        <v/>
      </c>
      <c r="AI41">
        <f>IF(설문!AI56="","",IFERROR(VALUE(설문!AI56),""))</f>
        <v/>
      </c>
      <c r="AJ41">
        <f>IF(설문!AJ56="","",IFERROR(VALUE(설문!AJ56),""))</f>
        <v/>
      </c>
      <c r="AK41">
        <f>IF(설문!AK56="","",IFERROR(VALUE(설문!AK56),""))</f>
        <v/>
      </c>
      <c r="AL41">
        <f>IF(설문!AL56="","",IFERROR(VALUE(설문!AL56),""))</f>
        <v/>
      </c>
      <c r="AM41">
        <f>IF(설문!AM56="","",IFERROR(VALUE(설문!AM56),""))</f>
        <v/>
      </c>
      <c r="AN41">
        <f>IF(설문!AN56="","",IFERROR(VALUE(설문!AN56),""))</f>
        <v/>
      </c>
      <c r="AO41">
        <f>IF(설문!AO56="","",IFERROR(VALUE(설문!AO56),""))</f>
        <v/>
      </c>
      <c r="AP41">
        <f>IF(설문!AP56="","",IFERROR(VALUE(설문!AP56),""))</f>
        <v/>
      </c>
      <c r="AQ41">
        <f>IF(설문!AQ56="","",IFERROR(VALUE(설문!AQ56),""))</f>
        <v/>
      </c>
      <c r="AR41">
        <f>IF(설문!AR56="","",IFERROR(VALUE(설문!AR56),""))</f>
        <v/>
      </c>
      <c r="AS41">
        <f>IF(설문!AS56="","",IFERROR(VALUE(설문!AS56),""))</f>
        <v/>
      </c>
      <c r="AT41">
        <f>IF(설문!AT56="","",IFERROR(VALUE(설문!AT56),""))</f>
        <v/>
      </c>
      <c r="AU41">
        <f>IF(설문!AU56="","",IFERROR(VALUE(설문!AU56),""))</f>
        <v/>
      </c>
      <c r="AV41">
        <f>IF(설문!AV56="","",IFERROR(VALUE(설문!AV56),""))</f>
        <v/>
      </c>
      <c r="AW41">
        <f>IF(설문!AW56="","",IFERROR(VALUE(설문!AW56),""))</f>
        <v/>
      </c>
      <c r="AX41">
        <f>IF(설문!AX56="","",IFERROR(VALUE(설문!AX56),""))</f>
        <v/>
      </c>
      <c r="AY41">
        <f>IF(설문!AY56="","",IFERROR(VALUE(설문!AY56),""))</f>
        <v/>
      </c>
      <c r="AZ41">
        <f>IF(설문!AZ56="","",IFERROR(VALUE(설문!AZ56),""))</f>
        <v/>
      </c>
      <c r="BA41">
        <f>IF(설문!BA56="","",IFERROR(VALUE(설문!BA56),""))</f>
        <v/>
      </c>
      <c r="BB41">
        <f>IF(설문!BB56="","",IFERROR(VALUE(설문!BB56),""))</f>
        <v/>
      </c>
    </row>
    <row r="42">
      <c r="A42" s="16" t="inlineStr">
        <is>
          <t>Q23_3</t>
        </is>
      </c>
      <c r="B42" s="16" t="inlineStr">
        <is>
          <t>5점척도</t>
        </is>
      </c>
      <c r="E42">
        <f>IF(설문!E57="","",IFERROR(VALUE(설문!E57),""))</f>
        <v/>
      </c>
      <c r="F42">
        <f>IF(설문!F57="","",IFERROR(VALUE(설문!F57),""))</f>
        <v/>
      </c>
      <c r="G42">
        <f>IF(설문!G57="","",IFERROR(VALUE(설문!G57),""))</f>
        <v/>
      </c>
      <c r="H42">
        <f>IF(설문!H57="","",IFERROR(VALUE(설문!H57),""))</f>
        <v/>
      </c>
      <c r="I42">
        <f>IF(설문!I57="","",IFERROR(VALUE(설문!I57),""))</f>
        <v/>
      </c>
      <c r="J42">
        <f>IF(설문!J57="","",IFERROR(VALUE(설문!J57),""))</f>
        <v/>
      </c>
      <c r="K42">
        <f>IF(설문!K57="","",IFERROR(VALUE(설문!K57),""))</f>
        <v/>
      </c>
      <c r="L42">
        <f>IF(설문!L57="","",IFERROR(VALUE(설문!L57),""))</f>
        <v/>
      </c>
      <c r="M42">
        <f>IF(설문!M57="","",IFERROR(VALUE(설문!M57),""))</f>
        <v/>
      </c>
      <c r="N42">
        <f>IF(설문!N57="","",IFERROR(VALUE(설문!N57),""))</f>
        <v/>
      </c>
      <c r="O42">
        <f>IF(설문!O57="","",IFERROR(VALUE(설문!O57),""))</f>
        <v/>
      </c>
      <c r="P42">
        <f>IF(설문!P57="","",IFERROR(VALUE(설문!P57),""))</f>
        <v/>
      </c>
      <c r="Q42">
        <f>IF(설문!Q57="","",IFERROR(VALUE(설문!Q57),""))</f>
        <v/>
      </c>
      <c r="R42">
        <f>IF(설문!R57="","",IFERROR(VALUE(설문!R57),""))</f>
        <v/>
      </c>
      <c r="S42">
        <f>IF(설문!S57="","",IFERROR(VALUE(설문!S57),""))</f>
        <v/>
      </c>
      <c r="T42">
        <f>IF(설문!T57="","",IFERROR(VALUE(설문!T57),""))</f>
        <v/>
      </c>
      <c r="U42">
        <f>IF(설문!U57="","",IFERROR(VALUE(설문!U57),""))</f>
        <v/>
      </c>
      <c r="V42">
        <f>IF(설문!V57="","",IFERROR(VALUE(설문!V57),""))</f>
        <v/>
      </c>
      <c r="W42">
        <f>IF(설문!W57="","",IFERROR(VALUE(설문!W57),""))</f>
        <v/>
      </c>
      <c r="X42">
        <f>IF(설문!X57="","",IFERROR(VALUE(설문!X57),""))</f>
        <v/>
      </c>
      <c r="Y42">
        <f>IF(설문!Y57="","",IFERROR(VALUE(설문!Y57),""))</f>
        <v/>
      </c>
      <c r="Z42">
        <f>IF(설문!Z57="","",IFERROR(VALUE(설문!Z57),""))</f>
        <v/>
      </c>
      <c r="AA42">
        <f>IF(설문!AA57="","",IFERROR(VALUE(설문!AA57),""))</f>
        <v/>
      </c>
      <c r="AB42">
        <f>IF(설문!AB57="","",IFERROR(VALUE(설문!AB57),""))</f>
        <v/>
      </c>
      <c r="AC42">
        <f>IF(설문!AC57="","",IFERROR(VALUE(설문!AC57),""))</f>
        <v/>
      </c>
      <c r="AD42">
        <f>IF(설문!AD57="","",IFERROR(VALUE(설문!AD57),""))</f>
        <v/>
      </c>
      <c r="AE42">
        <f>IF(설문!AE57="","",IFERROR(VALUE(설문!AE57),""))</f>
        <v/>
      </c>
      <c r="AF42">
        <f>IF(설문!AF57="","",IFERROR(VALUE(설문!AF57),""))</f>
        <v/>
      </c>
      <c r="AG42">
        <f>IF(설문!AG57="","",IFERROR(VALUE(설문!AG57),""))</f>
        <v/>
      </c>
      <c r="AH42">
        <f>IF(설문!AH57="","",IFERROR(VALUE(설문!AH57),""))</f>
        <v/>
      </c>
      <c r="AI42">
        <f>IF(설문!AI57="","",IFERROR(VALUE(설문!AI57),""))</f>
        <v/>
      </c>
      <c r="AJ42">
        <f>IF(설문!AJ57="","",IFERROR(VALUE(설문!AJ57),""))</f>
        <v/>
      </c>
      <c r="AK42">
        <f>IF(설문!AK57="","",IFERROR(VALUE(설문!AK57),""))</f>
        <v/>
      </c>
      <c r="AL42">
        <f>IF(설문!AL57="","",IFERROR(VALUE(설문!AL57),""))</f>
        <v/>
      </c>
      <c r="AM42">
        <f>IF(설문!AM57="","",IFERROR(VALUE(설문!AM57),""))</f>
        <v/>
      </c>
      <c r="AN42">
        <f>IF(설문!AN57="","",IFERROR(VALUE(설문!AN57),""))</f>
        <v/>
      </c>
      <c r="AO42">
        <f>IF(설문!AO57="","",IFERROR(VALUE(설문!AO57),""))</f>
        <v/>
      </c>
      <c r="AP42">
        <f>IF(설문!AP57="","",IFERROR(VALUE(설문!AP57),""))</f>
        <v/>
      </c>
      <c r="AQ42">
        <f>IF(설문!AQ57="","",IFERROR(VALUE(설문!AQ57),""))</f>
        <v/>
      </c>
      <c r="AR42">
        <f>IF(설문!AR57="","",IFERROR(VALUE(설문!AR57),""))</f>
        <v/>
      </c>
      <c r="AS42">
        <f>IF(설문!AS57="","",IFERROR(VALUE(설문!AS57),""))</f>
        <v/>
      </c>
      <c r="AT42">
        <f>IF(설문!AT57="","",IFERROR(VALUE(설문!AT57),""))</f>
        <v/>
      </c>
      <c r="AU42">
        <f>IF(설문!AU57="","",IFERROR(VALUE(설문!AU57),""))</f>
        <v/>
      </c>
      <c r="AV42">
        <f>IF(설문!AV57="","",IFERROR(VALUE(설문!AV57),""))</f>
        <v/>
      </c>
      <c r="AW42">
        <f>IF(설문!AW57="","",IFERROR(VALUE(설문!AW57),""))</f>
        <v/>
      </c>
      <c r="AX42">
        <f>IF(설문!AX57="","",IFERROR(VALUE(설문!AX57),""))</f>
        <v/>
      </c>
      <c r="AY42">
        <f>IF(설문!AY57="","",IFERROR(VALUE(설문!AY57),""))</f>
        <v/>
      </c>
      <c r="AZ42">
        <f>IF(설문!AZ57="","",IFERROR(VALUE(설문!AZ57),""))</f>
        <v/>
      </c>
      <c r="BA42">
        <f>IF(설문!BA57="","",IFERROR(VALUE(설문!BA57),""))</f>
        <v/>
      </c>
      <c r="BB42">
        <f>IF(설문!BB57="","",IFERROR(VALUE(설문!BB57),""))</f>
        <v/>
      </c>
    </row>
    <row r="43">
      <c r="A43" s="16" t="inlineStr">
        <is>
          <t>Q23_4</t>
        </is>
      </c>
      <c r="B43" s="16" t="inlineStr">
        <is>
          <t>5점척도</t>
        </is>
      </c>
      <c r="E43">
        <f>IF(설문!E58="","",IFERROR(VALUE(설문!E58),""))</f>
        <v/>
      </c>
      <c r="F43">
        <f>IF(설문!F58="","",IFERROR(VALUE(설문!F58),""))</f>
        <v/>
      </c>
      <c r="G43">
        <f>IF(설문!G58="","",IFERROR(VALUE(설문!G58),""))</f>
        <v/>
      </c>
      <c r="H43">
        <f>IF(설문!H58="","",IFERROR(VALUE(설문!H58),""))</f>
        <v/>
      </c>
      <c r="I43">
        <f>IF(설문!I58="","",IFERROR(VALUE(설문!I58),""))</f>
        <v/>
      </c>
      <c r="J43">
        <f>IF(설문!J58="","",IFERROR(VALUE(설문!J58),""))</f>
        <v/>
      </c>
      <c r="K43">
        <f>IF(설문!K58="","",IFERROR(VALUE(설문!K58),""))</f>
        <v/>
      </c>
      <c r="L43">
        <f>IF(설문!L58="","",IFERROR(VALUE(설문!L58),""))</f>
        <v/>
      </c>
      <c r="M43">
        <f>IF(설문!M58="","",IFERROR(VALUE(설문!M58),""))</f>
        <v/>
      </c>
      <c r="N43">
        <f>IF(설문!N58="","",IFERROR(VALUE(설문!N58),""))</f>
        <v/>
      </c>
      <c r="O43">
        <f>IF(설문!O58="","",IFERROR(VALUE(설문!O58),""))</f>
        <v/>
      </c>
      <c r="P43">
        <f>IF(설문!P58="","",IFERROR(VALUE(설문!P58),""))</f>
        <v/>
      </c>
      <c r="Q43">
        <f>IF(설문!Q58="","",IFERROR(VALUE(설문!Q58),""))</f>
        <v/>
      </c>
      <c r="R43">
        <f>IF(설문!R58="","",IFERROR(VALUE(설문!R58),""))</f>
        <v/>
      </c>
      <c r="S43">
        <f>IF(설문!S58="","",IFERROR(VALUE(설문!S58),""))</f>
        <v/>
      </c>
      <c r="T43">
        <f>IF(설문!T58="","",IFERROR(VALUE(설문!T58),""))</f>
        <v/>
      </c>
      <c r="U43">
        <f>IF(설문!U58="","",IFERROR(VALUE(설문!U58),""))</f>
        <v/>
      </c>
      <c r="V43">
        <f>IF(설문!V58="","",IFERROR(VALUE(설문!V58),""))</f>
        <v/>
      </c>
      <c r="W43">
        <f>IF(설문!W58="","",IFERROR(VALUE(설문!W58),""))</f>
        <v/>
      </c>
      <c r="X43">
        <f>IF(설문!X58="","",IFERROR(VALUE(설문!X58),""))</f>
        <v/>
      </c>
      <c r="Y43">
        <f>IF(설문!Y58="","",IFERROR(VALUE(설문!Y58),""))</f>
        <v/>
      </c>
      <c r="Z43">
        <f>IF(설문!Z58="","",IFERROR(VALUE(설문!Z58),""))</f>
        <v/>
      </c>
      <c r="AA43">
        <f>IF(설문!AA58="","",IFERROR(VALUE(설문!AA58),""))</f>
        <v/>
      </c>
      <c r="AB43">
        <f>IF(설문!AB58="","",IFERROR(VALUE(설문!AB58),""))</f>
        <v/>
      </c>
      <c r="AC43">
        <f>IF(설문!AC58="","",IFERROR(VALUE(설문!AC58),""))</f>
        <v/>
      </c>
      <c r="AD43">
        <f>IF(설문!AD58="","",IFERROR(VALUE(설문!AD58),""))</f>
        <v/>
      </c>
      <c r="AE43">
        <f>IF(설문!AE58="","",IFERROR(VALUE(설문!AE58),""))</f>
        <v/>
      </c>
      <c r="AF43">
        <f>IF(설문!AF58="","",IFERROR(VALUE(설문!AF58),""))</f>
        <v/>
      </c>
      <c r="AG43">
        <f>IF(설문!AG58="","",IFERROR(VALUE(설문!AG58),""))</f>
        <v/>
      </c>
      <c r="AH43">
        <f>IF(설문!AH58="","",IFERROR(VALUE(설문!AH58),""))</f>
        <v/>
      </c>
      <c r="AI43">
        <f>IF(설문!AI58="","",IFERROR(VALUE(설문!AI58),""))</f>
        <v/>
      </c>
      <c r="AJ43">
        <f>IF(설문!AJ58="","",IFERROR(VALUE(설문!AJ58),""))</f>
        <v/>
      </c>
      <c r="AK43">
        <f>IF(설문!AK58="","",IFERROR(VALUE(설문!AK58),""))</f>
        <v/>
      </c>
      <c r="AL43">
        <f>IF(설문!AL58="","",IFERROR(VALUE(설문!AL58),""))</f>
        <v/>
      </c>
      <c r="AM43">
        <f>IF(설문!AM58="","",IFERROR(VALUE(설문!AM58),""))</f>
        <v/>
      </c>
      <c r="AN43">
        <f>IF(설문!AN58="","",IFERROR(VALUE(설문!AN58),""))</f>
        <v/>
      </c>
      <c r="AO43">
        <f>IF(설문!AO58="","",IFERROR(VALUE(설문!AO58),""))</f>
        <v/>
      </c>
      <c r="AP43">
        <f>IF(설문!AP58="","",IFERROR(VALUE(설문!AP58),""))</f>
        <v/>
      </c>
      <c r="AQ43">
        <f>IF(설문!AQ58="","",IFERROR(VALUE(설문!AQ58),""))</f>
        <v/>
      </c>
      <c r="AR43">
        <f>IF(설문!AR58="","",IFERROR(VALUE(설문!AR58),""))</f>
        <v/>
      </c>
      <c r="AS43">
        <f>IF(설문!AS58="","",IFERROR(VALUE(설문!AS58),""))</f>
        <v/>
      </c>
      <c r="AT43">
        <f>IF(설문!AT58="","",IFERROR(VALUE(설문!AT58),""))</f>
        <v/>
      </c>
      <c r="AU43">
        <f>IF(설문!AU58="","",IFERROR(VALUE(설문!AU58),""))</f>
        <v/>
      </c>
      <c r="AV43">
        <f>IF(설문!AV58="","",IFERROR(VALUE(설문!AV58),""))</f>
        <v/>
      </c>
      <c r="AW43">
        <f>IF(설문!AW58="","",IFERROR(VALUE(설문!AW58),""))</f>
        <v/>
      </c>
      <c r="AX43">
        <f>IF(설문!AX58="","",IFERROR(VALUE(설문!AX58),""))</f>
        <v/>
      </c>
      <c r="AY43">
        <f>IF(설문!AY58="","",IFERROR(VALUE(설문!AY58),""))</f>
        <v/>
      </c>
      <c r="AZ43">
        <f>IF(설문!AZ58="","",IFERROR(VALUE(설문!AZ58),""))</f>
        <v/>
      </c>
      <c r="BA43">
        <f>IF(설문!BA58="","",IFERROR(VALUE(설문!BA58),""))</f>
        <v/>
      </c>
      <c r="BB43">
        <f>IF(설문!BB58="","",IFERROR(VALUE(설문!BB58),""))</f>
        <v/>
      </c>
    </row>
    <row r="44">
      <c r="A44" s="16" t="inlineStr">
        <is>
          <t>Q23_5</t>
        </is>
      </c>
      <c r="B44" s="16" t="inlineStr">
        <is>
          <t>5점척도</t>
        </is>
      </c>
      <c r="E44">
        <f>IF(설문!E59="","",IFERROR(VALUE(설문!E59),""))</f>
        <v/>
      </c>
      <c r="F44">
        <f>IF(설문!F59="","",IFERROR(VALUE(설문!F59),""))</f>
        <v/>
      </c>
      <c r="G44">
        <f>IF(설문!G59="","",IFERROR(VALUE(설문!G59),""))</f>
        <v/>
      </c>
      <c r="H44">
        <f>IF(설문!H59="","",IFERROR(VALUE(설문!H59),""))</f>
        <v/>
      </c>
      <c r="I44">
        <f>IF(설문!I59="","",IFERROR(VALUE(설문!I59),""))</f>
        <v/>
      </c>
      <c r="J44">
        <f>IF(설문!J59="","",IFERROR(VALUE(설문!J59),""))</f>
        <v/>
      </c>
      <c r="K44">
        <f>IF(설문!K59="","",IFERROR(VALUE(설문!K59),""))</f>
        <v/>
      </c>
      <c r="L44">
        <f>IF(설문!L59="","",IFERROR(VALUE(설문!L59),""))</f>
        <v/>
      </c>
      <c r="M44">
        <f>IF(설문!M59="","",IFERROR(VALUE(설문!M59),""))</f>
        <v/>
      </c>
      <c r="N44">
        <f>IF(설문!N59="","",IFERROR(VALUE(설문!N59),""))</f>
        <v/>
      </c>
      <c r="O44">
        <f>IF(설문!O59="","",IFERROR(VALUE(설문!O59),""))</f>
        <v/>
      </c>
      <c r="P44">
        <f>IF(설문!P59="","",IFERROR(VALUE(설문!P59),""))</f>
        <v/>
      </c>
      <c r="Q44">
        <f>IF(설문!Q59="","",IFERROR(VALUE(설문!Q59),""))</f>
        <v/>
      </c>
      <c r="R44">
        <f>IF(설문!R59="","",IFERROR(VALUE(설문!R59),""))</f>
        <v/>
      </c>
      <c r="S44">
        <f>IF(설문!S59="","",IFERROR(VALUE(설문!S59),""))</f>
        <v/>
      </c>
      <c r="T44">
        <f>IF(설문!T59="","",IFERROR(VALUE(설문!T59),""))</f>
        <v/>
      </c>
      <c r="U44">
        <f>IF(설문!U59="","",IFERROR(VALUE(설문!U59),""))</f>
        <v/>
      </c>
      <c r="V44">
        <f>IF(설문!V59="","",IFERROR(VALUE(설문!V59),""))</f>
        <v/>
      </c>
      <c r="W44">
        <f>IF(설문!W59="","",IFERROR(VALUE(설문!W59),""))</f>
        <v/>
      </c>
      <c r="X44">
        <f>IF(설문!X59="","",IFERROR(VALUE(설문!X59),""))</f>
        <v/>
      </c>
      <c r="Y44">
        <f>IF(설문!Y59="","",IFERROR(VALUE(설문!Y59),""))</f>
        <v/>
      </c>
      <c r="Z44">
        <f>IF(설문!Z59="","",IFERROR(VALUE(설문!Z59),""))</f>
        <v/>
      </c>
      <c r="AA44">
        <f>IF(설문!AA59="","",IFERROR(VALUE(설문!AA59),""))</f>
        <v/>
      </c>
      <c r="AB44">
        <f>IF(설문!AB59="","",IFERROR(VALUE(설문!AB59),""))</f>
        <v/>
      </c>
      <c r="AC44">
        <f>IF(설문!AC59="","",IFERROR(VALUE(설문!AC59),""))</f>
        <v/>
      </c>
      <c r="AD44">
        <f>IF(설문!AD59="","",IFERROR(VALUE(설문!AD59),""))</f>
        <v/>
      </c>
      <c r="AE44">
        <f>IF(설문!AE59="","",IFERROR(VALUE(설문!AE59),""))</f>
        <v/>
      </c>
      <c r="AF44">
        <f>IF(설문!AF59="","",IFERROR(VALUE(설문!AF59),""))</f>
        <v/>
      </c>
      <c r="AG44">
        <f>IF(설문!AG59="","",IFERROR(VALUE(설문!AG59),""))</f>
        <v/>
      </c>
      <c r="AH44">
        <f>IF(설문!AH59="","",IFERROR(VALUE(설문!AH59),""))</f>
        <v/>
      </c>
      <c r="AI44">
        <f>IF(설문!AI59="","",IFERROR(VALUE(설문!AI59),""))</f>
        <v/>
      </c>
      <c r="AJ44">
        <f>IF(설문!AJ59="","",IFERROR(VALUE(설문!AJ59),""))</f>
        <v/>
      </c>
      <c r="AK44">
        <f>IF(설문!AK59="","",IFERROR(VALUE(설문!AK59),""))</f>
        <v/>
      </c>
      <c r="AL44">
        <f>IF(설문!AL59="","",IFERROR(VALUE(설문!AL59),""))</f>
        <v/>
      </c>
      <c r="AM44">
        <f>IF(설문!AM59="","",IFERROR(VALUE(설문!AM59),""))</f>
        <v/>
      </c>
      <c r="AN44">
        <f>IF(설문!AN59="","",IFERROR(VALUE(설문!AN59),""))</f>
        <v/>
      </c>
      <c r="AO44">
        <f>IF(설문!AO59="","",IFERROR(VALUE(설문!AO59),""))</f>
        <v/>
      </c>
      <c r="AP44">
        <f>IF(설문!AP59="","",IFERROR(VALUE(설문!AP59),""))</f>
        <v/>
      </c>
      <c r="AQ44">
        <f>IF(설문!AQ59="","",IFERROR(VALUE(설문!AQ59),""))</f>
        <v/>
      </c>
      <c r="AR44">
        <f>IF(설문!AR59="","",IFERROR(VALUE(설문!AR59),""))</f>
        <v/>
      </c>
      <c r="AS44">
        <f>IF(설문!AS59="","",IFERROR(VALUE(설문!AS59),""))</f>
        <v/>
      </c>
      <c r="AT44">
        <f>IF(설문!AT59="","",IFERROR(VALUE(설문!AT59),""))</f>
        <v/>
      </c>
      <c r="AU44">
        <f>IF(설문!AU59="","",IFERROR(VALUE(설문!AU59),""))</f>
        <v/>
      </c>
      <c r="AV44">
        <f>IF(설문!AV59="","",IFERROR(VALUE(설문!AV59),""))</f>
        <v/>
      </c>
      <c r="AW44">
        <f>IF(설문!AW59="","",IFERROR(VALUE(설문!AW59),""))</f>
        <v/>
      </c>
      <c r="AX44">
        <f>IF(설문!AX59="","",IFERROR(VALUE(설문!AX59),""))</f>
        <v/>
      </c>
      <c r="AY44">
        <f>IF(설문!AY59="","",IFERROR(VALUE(설문!AY59),""))</f>
        <v/>
      </c>
      <c r="AZ44">
        <f>IF(설문!AZ59="","",IFERROR(VALUE(설문!AZ59),""))</f>
        <v/>
      </c>
      <c r="BA44">
        <f>IF(설문!BA59="","",IFERROR(VALUE(설문!BA59),""))</f>
        <v/>
      </c>
      <c r="BB44">
        <f>IF(설문!BB59="","",IFERROR(VALUE(설문!BB59),""))</f>
        <v/>
      </c>
    </row>
    <row r="45">
      <c r="A45" s="16" t="inlineStr">
        <is>
          <t>Q24_1</t>
        </is>
      </c>
      <c r="B45" s="16" t="inlineStr">
        <is>
          <t>5점척도</t>
        </is>
      </c>
      <c r="E45">
        <f>IF(설문!E61="","",IFERROR(VALUE(설문!E61),""))</f>
        <v/>
      </c>
      <c r="F45">
        <f>IF(설문!F61="","",IFERROR(VALUE(설문!F61),""))</f>
        <v/>
      </c>
      <c r="G45">
        <f>IF(설문!G61="","",IFERROR(VALUE(설문!G61),""))</f>
        <v/>
      </c>
      <c r="H45">
        <f>IF(설문!H61="","",IFERROR(VALUE(설문!H61),""))</f>
        <v/>
      </c>
      <c r="I45">
        <f>IF(설문!I61="","",IFERROR(VALUE(설문!I61),""))</f>
        <v/>
      </c>
      <c r="J45">
        <f>IF(설문!J61="","",IFERROR(VALUE(설문!J61),""))</f>
        <v/>
      </c>
      <c r="K45">
        <f>IF(설문!K61="","",IFERROR(VALUE(설문!K61),""))</f>
        <v/>
      </c>
      <c r="L45">
        <f>IF(설문!L61="","",IFERROR(VALUE(설문!L61),""))</f>
        <v/>
      </c>
      <c r="M45">
        <f>IF(설문!M61="","",IFERROR(VALUE(설문!M61),""))</f>
        <v/>
      </c>
      <c r="N45">
        <f>IF(설문!N61="","",IFERROR(VALUE(설문!N61),""))</f>
        <v/>
      </c>
      <c r="O45">
        <f>IF(설문!O61="","",IFERROR(VALUE(설문!O61),""))</f>
        <v/>
      </c>
      <c r="P45">
        <f>IF(설문!P61="","",IFERROR(VALUE(설문!P61),""))</f>
        <v/>
      </c>
      <c r="Q45">
        <f>IF(설문!Q61="","",IFERROR(VALUE(설문!Q61),""))</f>
        <v/>
      </c>
      <c r="R45">
        <f>IF(설문!R61="","",IFERROR(VALUE(설문!R61),""))</f>
        <v/>
      </c>
      <c r="S45">
        <f>IF(설문!S61="","",IFERROR(VALUE(설문!S61),""))</f>
        <v/>
      </c>
      <c r="T45">
        <f>IF(설문!T61="","",IFERROR(VALUE(설문!T61),""))</f>
        <v/>
      </c>
      <c r="U45">
        <f>IF(설문!U61="","",IFERROR(VALUE(설문!U61),""))</f>
        <v/>
      </c>
      <c r="V45">
        <f>IF(설문!V61="","",IFERROR(VALUE(설문!V61),""))</f>
        <v/>
      </c>
      <c r="W45">
        <f>IF(설문!W61="","",IFERROR(VALUE(설문!W61),""))</f>
        <v/>
      </c>
      <c r="X45">
        <f>IF(설문!X61="","",IFERROR(VALUE(설문!X61),""))</f>
        <v/>
      </c>
      <c r="Y45">
        <f>IF(설문!Y61="","",IFERROR(VALUE(설문!Y61),""))</f>
        <v/>
      </c>
      <c r="Z45">
        <f>IF(설문!Z61="","",IFERROR(VALUE(설문!Z61),""))</f>
        <v/>
      </c>
      <c r="AA45">
        <f>IF(설문!AA61="","",IFERROR(VALUE(설문!AA61),""))</f>
        <v/>
      </c>
      <c r="AB45">
        <f>IF(설문!AB61="","",IFERROR(VALUE(설문!AB61),""))</f>
        <v/>
      </c>
      <c r="AC45">
        <f>IF(설문!AC61="","",IFERROR(VALUE(설문!AC61),""))</f>
        <v/>
      </c>
      <c r="AD45">
        <f>IF(설문!AD61="","",IFERROR(VALUE(설문!AD61),""))</f>
        <v/>
      </c>
      <c r="AE45">
        <f>IF(설문!AE61="","",IFERROR(VALUE(설문!AE61),""))</f>
        <v/>
      </c>
      <c r="AF45">
        <f>IF(설문!AF61="","",IFERROR(VALUE(설문!AF61),""))</f>
        <v/>
      </c>
      <c r="AG45">
        <f>IF(설문!AG61="","",IFERROR(VALUE(설문!AG61),""))</f>
        <v/>
      </c>
      <c r="AH45">
        <f>IF(설문!AH61="","",IFERROR(VALUE(설문!AH61),""))</f>
        <v/>
      </c>
      <c r="AI45">
        <f>IF(설문!AI61="","",IFERROR(VALUE(설문!AI61),""))</f>
        <v/>
      </c>
      <c r="AJ45">
        <f>IF(설문!AJ61="","",IFERROR(VALUE(설문!AJ61),""))</f>
        <v/>
      </c>
      <c r="AK45">
        <f>IF(설문!AK61="","",IFERROR(VALUE(설문!AK61),""))</f>
        <v/>
      </c>
      <c r="AL45">
        <f>IF(설문!AL61="","",IFERROR(VALUE(설문!AL61),""))</f>
        <v/>
      </c>
      <c r="AM45">
        <f>IF(설문!AM61="","",IFERROR(VALUE(설문!AM61),""))</f>
        <v/>
      </c>
      <c r="AN45">
        <f>IF(설문!AN61="","",IFERROR(VALUE(설문!AN61),""))</f>
        <v/>
      </c>
      <c r="AO45">
        <f>IF(설문!AO61="","",IFERROR(VALUE(설문!AO61),""))</f>
        <v/>
      </c>
      <c r="AP45">
        <f>IF(설문!AP61="","",IFERROR(VALUE(설문!AP61),""))</f>
        <v/>
      </c>
      <c r="AQ45">
        <f>IF(설문!AQ61="","",IFERROR(VALUE(설문!AQ61),""))</f>
        <v/>
      </c>
      <c r="AR45">
        <f>IF(설문!AR61="","",IFERROR(VALUE(설문!AR61),""))</f>
        <v/>
      </c>
      <c r="AS45">
        <f>IF(설문!AS61="","",IFERROR(VALUE(설문!AS61),""))</f>
        <v/>
      </c>
      <c r="AT45">
        <f>IF(설문!AT61="","",IFERROR(VALUE(설문!AT61),""))</f>
        <v/>
      </c>
      <c r="AU45">
        <f>IF(설문!AU61="","",IFERROR(VALUE(설문!AU61),""))</f>
        <v/>
      </c>
      <c r="AV45">
        <f>IF(설문!AV61="","",IFERROR(VALUE(설문!AV61),""))</f>
        <v/>
      </c>
      <c r="AW45">
        <f>IF(설문!AW61="","",IFERROR(VALUE(설문!AW61),""))</f>
        <v/>
      </c>
      <c r="AX45">
        <f>IF(설문!AX61="","",IFERROR(VALUE(설문!AX61),""))</f>
        <v/>
      </c>
      <c r="AY45">
        <f>IF(설문!AY61="","",IFERROR(VALUE(설문!AY61),""))</f>
        <v/>
      </c>
      <c r="AZ45">
        <f>IF(설문!AZ61="","",IFERROR(VALUE(설문!AZ61),""))</f>
        <v/>
      </c>
      <c r="BA45">
        <f>IF(설문!BA61="","",IFERROR(VALUE(설문!BA61),""))</f>
        <v/>
      </c>
      <c r="BB45">
        <f>IF(설문!BB61="","",IFERROR(VALUE(설문!BB61),""))</f>
        <v/>
      </c>
    </row>
    <row r="46">
      <c r="A46" s="16" t="inlineStr">
        <is>
          <t>Q24_2</t>
        </is>
      </c>
      <c r="B46" s="16" t="inlineStr">
        <is>
          <t>5점척도</t>
        </is>
      </c>
      <c r="E46">
        <f>IF(설문!E62="","",IFERROR(VALUE(설문!E62),""))</f>
        <v/>
      </c>
      <c r="F46">
        <f>IF(설문!F62="","",IFERROR(VALUE(설문!F62),""))</f>
        <v/>
      </c>
      <c r="G46">
        <f>IF(설문!G62="","",IFERROR(VALUE(설문!G62),""))</f>
        <v/>
      </c>
      <c r="H46">
        <f>IF(설문!H62="","",IFERROR(VALUE(설문!H62),""))</f>
        <v/>
      </c>
      <c r="I46">
        <f>IF(설문!I62="","",IFERROR(VALUE(설문!I62),""))</f>
        <v/>
      </c>
      <c r="J46">
        <f>IF(설문!J62="","",IFERROR(VALUE(설문!J62),""))</f>
        <v/>
      </c>
      <c r="K46">
        <f>IF(설문!K62="","",IFERROR(VALUE(설문!K62),""))</f>
        <v/>
      </c>
      <c r="L46">
        <f>IF(설문!L62="","",IFERROR(VALUE(설문!L62),""))</f>
        <v/>
      </c>
      <c r="M46">
        <f>IF(설문!M62="","",IFERROR(VALUE(설문!M62),""))</f>
        <v/>
      </c>
      <c r="N46">
        <f>IF(설문!N62="","",IFERROR(VALUE(설문!N62),""))</f>
        <v/>
      </c>
      <c r="O46">
        <f>IF(설문!O62="","",IFERROR(VALUE(설문!O62),""))</f>
        <v/>
      </c>
      <c r="P46">
        <f>IF(설문!P62="","",IFERROR(VALUE(설문!P62),""))</f>
        <v/>
      </c>
      <c r="Q46">
        <f>IF(설문!Q62="","",IFERROR(VALUE(설문!Q62),""))</f>
        <v/>
      </c>
      <c r="R46">
        <f>IF(설문!R62="","",IFERROR(VALUE(설문!R62),""))</f>
        <v/>
      </c>
      <c r="S46">
        <f>IF(설문!S62="","",IFERROR(VALUE(설문!S62),""))</f>
        <v/>
      </c>
      <c r="T46">
        <f>IF(설문!T62="","",IFERROR(VALUE(설문!T62),""))</f>
        <v/>
      </c>
      <c r="U46">
        <f>IF(설문!U62="","",IFERROR(VALUE(설문!U62),""))</f>
        <v/>
      </c>
      <c r="V46">
        <f>IF(설문!V62="","",IFERROR(VALUE(설문!V62),""))</f>
        <v/>
      </c>
      <c r="W46">
        <f>IF(설문!W62="","",IFERROR(VALUE(설문!W62),""))</f>
        <v/>
      </c>
      <c r="X46">
        <f>IF(설문!X62="","",IFERROR(VALUE(설문!X62),""))</f>
        <v/>
      </c>
      <c r="Y46">
        <f>IF(설문!Y62="","",IFERROR(VALUE(설문!Y62),""))</f>
        <v/>
      </c>
      <c r="Z46">
        <f>IF(설문!Z62="","",IFERROR(VALUE(설문!Z62),""))</f>
        <v/>
      </c>
      <c r="AA46">
        <f>IF(설문!AA62="","",IFERROR(VALUE(설문!AA62),""))</f>
        <v/>
      </c>
      <c r="AB46">
        <f>IF(설문!AB62="","",IFERROR(VALUE(설문!AB62),""))</f>
        <v/>
      </c>
      <c r="AC46">
        <f>IF(설문!AC62="","",IFERROR(VALUE(설문!AC62),""))</f>
        <v/>
      </c>
      <c r="AD46">
        <f>IF(설문!AD62="","",IFERROR(VALUE(설문!AD62),""))</f>
        <v/>
      </c>
      <c r="AE46">
        <f>IF(설문!AE62="","",IFERROR(VALUE(설문!AE62),""))</f>
        <v/>
      </c>
      <c r="AF46">
        <f>IF(설문!AF62="","",IFERROR(VALUE(설문!AF62),""))</f>
        <v/>
      </c>
      <c r="AG46">
        <f>IF(설문!AG62="","",IFERROR(VALUE(설문!AG62),""))</f>
        <v/>
      </c>
      <c r="AH46">
        <f>IF(설문!AH62="","",IFERROR(VALUE(설문!AH62),""))</f>
        <v/>
      </c>
      <c r="AI46">
        <f>IF(설문!AI62="","",IFERROR(VALUE(설문!AI62),""))</f>
        <v/>
      </c>
      <c r="AJ46">
        <f>IF(설문!AJ62="","",IFERROR(VALUE(설문!AJ62),""))</f>
        <v/>
      </c>
      <c r="AK46">
        <f>IF(설문!AK62="","",IFERROR(VALUE(설문!AK62),""))</f>
        <v/>
      </c>
      <c r="AL46">
        <f>IF(설문!AL62="","",IFERROR(VALUE(설문!AL62),""))</f>
        <v/>
      </c>
      <c r="AM46">
        <f>IF(설문!AM62="","",IFERROR(VALUE(설문!AM62),""))</f>
        <v/>
      </c>
      <c r="AN46">
        <f>IF(설문!AN62="","",IFERROR(VALUE(설문!AN62),""))</f>
        <v/>
      </c>
      <c r="AO46">
        <f>IF(설문!AO62="","",IFERROR(VALUE(설문!AO62),""))</f>
        <v/>
      </c>
      <c r="AP46">
        <f>IF(설문!AP62="","",IFERROR(VALUE(설문!AP62),""))</f>
        <v/>
      </c>
      <c r="AQ46">
        <f>IF(설문!AQ62="","",IFERROR(VALUE(설문!AQ62),""))</f>
        <v/>
      </c>
      <c r="AR46">
        <f>IF(설문!AR62="","",IFERROR(VALUE(설문!AR62),""))</f>
        <v/>
      </c>
      <c r="AS46">
        <f>IF(설문!AS62="","",IFERROR(VALUE(설문!AS62),""))</f>
        <v/>
      </c>
      <c r="AT46">
        <f>IF(설문!AT62="","",IFERROR(VALUE(설문!AT62),""))</f>
        <v/>
      </c>
      <c r="AU46">
        <f>IF(설문!AU62="","",IFERROR(VALUE(설문!AU62),""))</f>
        <v/>
      </c>
      <c r="AV46">
        <f>IF(설문!AV62="","",IFERROR(VALUE(설문!AV62),""))</f>
        <v/>
      </c>
      <c r="AW46">
        <f>IF(설문!AW62="","",IFERROR(VALUE(설문!AW62),""))</f>
        <v/>
      </c>
      <c r="AX46">
        <f>IF(설문!AX62="","",IFERROR(VALUE(설문!AX62),""))</f>
        <v/>
      </c>
      <c r="AY46">
        <f>IF(설문!AY62="","",IFERROR(VALUE(설문!AY62),""))</f>
        <v/>
      </c>
      <c r="AZ46">
        <f>IF(설문!AZ62="","",IFERROR(VALUE(설문!AZ62),""))</f>
        <v/>
      </c>
      <c r="BA46">
        <f>IF(설문!BA62="","",IFERROR(VALUE(설문!BA62),""))</f>
        <v/>
      </c>
      <c r="BB46">
        <f>IF(설문!BB62="","",IFERROR(VALUE(설문!BB62),""))</f>
        <v/>
      </c>
    </row>
    <row r="47">
      <c r="A47" s="16" t="inlineStr">
        <is>
          <t>Q24_3</t>
        </is>
      </c>
      <c r="B47" s="16" t="inlineStr">
        <is>
          <t>5점척도</t>
        </is>
      </c>
      <c r="E47">
        <f>IF(설문!E63="","",IFERROR(VALUE(설문!E63),""))</f>
        <v/>
      </c>
      <c r="F47">
        <f>IF(설문!F63="","",IFERROR(VALUE(설문!F63),""))</f>
        <v/>
      </c>
      <c r="G47">
        <f>IF(설문!G63="","",IFERROR(VALUE(설문!G63),""))</f>
        <v/>
      </c>
      <c r="H47">
        <f>IF(설문!H63="","",IFERROR(VALUE(설문!H63),""))</f>
        <v/>
      </c>
      <c r="I47">
        <f>IF(설문!I63="","",IFERROR(VALUE(설문!I63),""))</f>
        <v/>
      </c>
      <c r="J47">
        <f>IF(설문!J63="","",IFERROR(VALUE(설문!J63),""))</f>
        <v/>
      </c>
      <c r="K47">
        <f>IF(설문!K63="","",IFERROR(VALUE(설문!K63),""))</f>
        <v/>
      </c>
      <c r="L47">
        <f>IF(설문!L63="","",IFERROR(VALUE(설문!L63),""))</f>
        <v/>
      </c>
      <c r="M47">
        <f>IF(설문!M63="","",IFERROR(VALUE(설문!M63),""))</f>
        <v/>
      </c>
      <c r="N47">
        <f>IF(설문!N63="","",IFERROR(VALUE(설문!N63),""))</f>
        <v/>
      </c>
      <c r="O47">
        <f>IF(설문!O63="","",IFERROR(VALUE(설문!O63),""))</f>
        <v/>
      </c>
      <c r="P47">
        <f>IF(설문!P63="","",IFERROR(VALUE(설문!P63),""))</f>
        <v/>
      </c>
      <c r="Q47">
        <f>IF(설문!Q63="","",IFERROR(VALUE(설문!Q63),""))</f>
        <v/>
      </c>
      <c r="R47">
        <f>IF(설문!R63="","",IFERROR(VALUE(설문!R63),""))</f>
        <v/>
      </c>
      <c r="S47">
        <f>IF(설문!S63="","",IFERROR(VALUE(설문!S63),""))</f>
        <v/>
      </c>
      <c r="T47">
        <f>IF(설문!T63="","",IFERROR(VALUE(설문!T63),""))</f>
        <v/>
      </c>
      <c r="U47">
        <f>IF(설문!U63="","",IFERROR(VALUE(설문!U63),""))</f>
        <v/>
      </c>
      <c r="V47">
        <f>IF(설문!V63="","",IFERROR(VALUE(설문!V63),""))</f>
        <v/>
      </c>
      <c r="W47">
        <f>IF(설문!W63="","",IFERROR(VALUE(설문!W63),""))</f>
        <v/>
      </c>
      <c r="X47">
        <f>IF(설문!X63="","",IFERROR(VALUE(설문!X63),""))</f>
        <v/>
      </c>
      <c r="Y47">
        <f>IF(설문!Y63="","",IFERROR(VALUE(설문!Y63),""))</f>
        <v/>
      </c>
      <c r="Z47">
        <f>IF(설문!Z63="","",IFERROR(VALUE(설문!Z63),""))</f>
        <v/>
      </c>
      <c r="AA47">
        <f>IF(설문!AA63="","",IFERROR(VALUE(설문!AA63),""))</f>
        <v/>
      </c>
      <c r="AB47">
        <f>IF(설문!AB63="","",IFERROR(VALUE(설문!AB63),""))</f>
        <v/>
      </c>
      <c r="AC47">
        <f>IF(설문!AC63="","",IFERROR(VALUE(설문!AC63),""))</f>
        <v/>
      </c>
      <c r="AD47">
        <f>IF(설문!AD63="","",IFERROR(VALUE(설문!AD63),""))</f>
        <v/>
      </c>
      <c r="AE47">
        <f>IF(설문!AE63="","",IFERROR(VALUE(설문!AE63),""))</f>
        <v/>
      </c>
      <c r="AF47">
        <f>IF(설문!AF63="","",IFERROR(VALUE(설문!AF63),""))</f>
        <v/>
      </c>
      <c r="AG47">
        <f>IF(설문!AG63="","",IFERROR(VALUE(설문!AG63),""))</f>
        <v/>
      </c>
      <c r="AH47">
        <f>IF(설문!AH63="","",IFERROR(VALUE(설문!AH63),""))</f>
        <v/>
      </c>
      <c r="AI47">
        <f>IF(설문!AI63="","",IFERROR(VALUE(설문!AI63),""))</f>
        <v/>
      </c>
      <c r="AJ47">
        <f>IF(설문!AJ63="","",IFERROR(VALUE(설문!AJ63),""))</f>
        <v/>
      </c>
      <c r="AK47">
        <f>IF(설문!AK63="","",IFERROR(VALUE(설문!AK63),""))</f>
        <v/>
      </c>
      <c r="AL47">
        <f>IF(설문!AL63="","",IFERROR(VALUE(설문!AL63),""))</f>
        <v/>
      </c>
      <c r="AM47">
        <f>IF(설문!AM63="","",IFERROR(VALUE(설문!AM63),""))</f>
        <v/>
      </c>
      <c r="AN47">
        <f>IF(설문!AN63="","",IFERROR(VALUE(설문!AN63),""))</f>
        <v/>
      </c>
      <c r="AO47">
        <f>IF(설문!AO63="","",IFERROR(VALUE(설문!AO63),""))</f>
        <v/>
      </c>
      <c r="AP47">
        <f>IF(설문!AP63="","",IFERROR(VALUE(설문!AP63),""))</f>
        <v/>
      </c>
      <c r="AQ47">
        <f>IF(설문!AQ63="","",IFERROR(VALUE(설문!AQ63),""))</f>
        <v/>
      </c>
      <c r="AR47">
        <f>IF(설문!AR63="","",IFERROR(VALUE(설문!AR63),""))</f>
        <v/>
      </c>
      <c r="AS47">
        <f>IF(설문!AS63="","",IFERROR(VALUE(설문!AS63),""))</f>
        <v/>
      </c>
      <c r="AT47">
        <f>IF(설문!AT63="","",IFERROR(VALUE(설문!AT63),""))</f>
        <v/>
      </c>
      <c r="AU47">
        <f>IF(설문!AU63="","",IFERROR(VALUE(설문!AU63),""))</f>
        <v/>
      </c>
      <c r="AV47">
        <f>IF(설문!AV63="","",IFERROR(VALUE(설문!AV63),""))</f>
        <v/>
      </c>
      <c r="AW47">
        <f>IF(설문!AW63="","",IFERROR(VALUE(설문!AW63),""))</f>
        <v/>
      </c>
      <c r="AX47">
        <f>IF(설문!AX63="","",IFERROR(VALUE(설문!AX63),""))</f>
        <v/>
      </c>
      <c r="AY47">
        <f>IF(설문!AY63="","",IFERROR(VALUE(설문!AY63),""))</f>
        <v/>
      </c>
      <c r="AZ47">
        <f>IF(설문!AZ63="","",IFERROR(VALUE(설문!AZ63),""))</f>
        <v/>
      </c>
      <c r="BA47">
        <f>IF(설문!BA63="","",IFERROR(VALUE(설문!BA63),""))</f>
        <v/>
      </c>
      <c r="BB47">
        <f>IF(설문!BB63="","",IFERROR(VALUE(설문!BB63),""))</f>
        <v/>
      </c>
    </row>
    <row r="48">
      <c r="A48" s="16" t="inlineStr">
        <is>
          <t>Q24_4</t>
        </is>
      </c>
      <c r="B48" s="16" t="inlineStr">
        <is>
          <t>5점척도</t>
        </is>
      </c>
      <c r="E48">
        <f>IF(설문!E64="","",IFERROR(VALUE(설문!E64),""))</f>
        <v/>
      </c>
      <c r="F48">
        <f>IF(설문!F64="","",IFERROR(VALUE(설문!F64),""))</f>
        <v/>
      </c>
      <c r="G48">
        <f>IF(설문!G64="","",IFERROR(VALUE(설문!G64),""))</f>
        <v/>
      </c>
      <c r="H48">
        <f>IF(설문!H64="","",IFERROR(VALUE(설문!H64),""))</f>
        <v/>
      </c>
      <c r="I48">
        <f>IF(설문!I64="","",IFERROR(VALUE(설문!I64),""))</f>
        <v/>
      </c>
      <c r="J48">
        <f>IF(설문!J64="","",IFERROR(VALUE(설문!J64),""))</f>
        <v/>
      </c>
      <c r="K48">
        <f>IF(설문!K64="","",IFERROR(VALUE(설문!K64),""))</f>
        <v/>
      </c>
      <c r="L48">
        <f>IF(설문!L64="","",IFERROR(VALUE(설문!L64),""))</f>
        <v/>
      </c>
      <c r="M48">
        <f>IF(설문!M64="","",IFERROR(VALUE(설문!M64),""))</f>
        <v/>
      </c>
      <c r="N48">
        <f>IF(설문!N64="","",IFERROR(VALUE(설문!N64),""))</f>
        <v/>
      </c>
      <c r="O48">
        <f>IF(설문!O64="","",IFERROR(VALUE(설문!O64),""))</f>
        <v/>
      </c>
      <c r="P48">
        <f>IF(설문!P64="","",IFERROR(VALUE(설문!P64),""))</f>
        <v/>
      </c>
      <c r="Q48">
        <f>IF(설문!Q64="","",IFERROR(VALUE(설문!Q64),""))</f>
        <v/>
      </c>
      <c r="R48">
        <f>IF(설문!R64="","",IFERROR(VALUE(설문!R64),""))</f>
        <v/>
      </c>
      <c r="S48">
        <f>IF(설문!S64="","",IFERROR(VALUE(설문!S64),""))</f>
        <v/>
      </c>
      <c r="T48">
        <f>IF(설문!T64="","",IFERROR(VALUE(설문!T64),""))</f>
        <v/>
      </c>
      <c r="U48">
        <f>IF(설문!U64="","",IFERROR(VALUE(설문!U64),""))</f>
        <v/>
      </c>
      <c r="V48">
        <f>IF(설문!V64="","",IFERROR(VALUE(설문!V64),""))</f>
        <v/>
      </c>
      <c r="W48">
        <f>IF(설문!W64="","",IFERROR(VALUE(설문!W64),""))</f>
        <v/>
      </c>
      <c r="X48">
        <f>IF(설문!X64="","",IFERROR(VALUE(설문!X64),""))</f>
        <v/>
      </c>
      <c r="Y48">
        <f>IF(설문!Y64="","",IFERROR(VALUE(설문!Y64),""))</f>
        <v/>
      </c>
      <c r="Z48">
        <f>IF(설문!Z64="","",IFERROR(VALUE(설문!Z64),""))</f>
        <v/>
      </c>
      <c r="AA48">
        <f>IF(설문!AA64="","",IFERROR(VALUE(설문!AA64),""))</f>
        <v/>
      </c>
      <c r="AB48">
        <f>IF(설문!AB64="","",IFERROR(VALUE(설문!AB64),""))</f>
        <v/>
      </c>
      <c r="AC48">
        <f>IF(설문!AC64="","",IFERROR(VALUE(설문!AC64),""))</f>
        <v/>
      </c>
      <c r="AD48">
        <f>IF(설문!AD64="","",IFERROR(VALUE(설문!AD64),""))</f>
        <v/>
      </c>
      <c r="AE48">
        <f>IF(설문!AE64="","",IFERROR(VALUE(설문!AE64),""))</f>
        <v/>
      </c>
      <c r="AF48">
        <f>IF(설문!AF64="","",IFERROR(VALUE(설문!AF64),""))</f>
        <v/>
      </c>
      <c r="AG48">
        <f>IF(설문!AG64="","",IFERROR(VALUE(설문!AG64),""))</f>
        <v/>
      </c>
      <c r="AH48">
        <f>IF(설문!AH64="","",IFERROR(VALUE(설문!AH64),""))</f>
        <v/>
      </c>
      <c r="AI48">
        <f>IF(설문!AI64="","",IFERROR(VALUE(설문!AI64),""))</f>
        <v/>
      </c>
      <c r="AJ48">
        <f>IF(설문!AJ64="","",IFERROR(VALUE(설문!AJ64),""))</f>
        <v/>
      </c>
      <c r="AK48">
        <f>IF(설문!AK64="","",IFERROR(VALUE(설문!AK64),""))</f>
        <v/>
      </c>
      <c r="AL48">
        <f>IF(설문!AL64="","",IFERROR(VALUE(설문!AL64),""))</f>
        <v/>
      </c>
      <c r="AM48">
        <f>IF(설문!AM64="","",IFERROR(VALUE(설문!AM64),""))</f>
        <v/>
      </c>
      <c r="AN48">
        <f>IF(설문!AN64="","",IFERROR(VALUE(설문!AN64),""))</f>
        <v/>
      </c>
      <c r="AO48">
        <f>IF(설문!AO64="","",IFERROR(VALUE(설문!AO64),""))</f>
        <v/>
      </c>
      <c r="AP48">
        <f>IF(설문!AP64="","",IFERROR(VALUE(설문!AP64),""))</f>
        <v/>
      </c>
      <c r="AQ48">
        <f>IF(설문!AQ64="","",IFERROR(VALUE(설문!AQ64),""))</f>
        <v/>
      </c>
      <c r="AR48">
        <f>IF(설문!AR64="","",IFERROR(VALUE(설문!AR64),""))</f>
        <v/>
      </c>
      <c r="AS48">
        <f>IF(설문!AS64="","",IFERROR(VALUE(설문!AS64),""))</f>
        <v/>
      </c>
      <c r="AT48">
        <f>IF(설문!AT64="","",IFERROR(VALUE(설문!AT64),""))</f>
        <v/>
      </c>
      <c r="AU48">
        <f>IF(설문!AU64="","",IFERROR(VALUE(설문!AU64),""))</f>
        <v/>
      </c>
      <c r="AV48">
        <f>IF(설문!AV64="","",IFERROR(VALUE(설문!AV64),""))</f>
        <v/>
      </c>
      <c r="AW48">
        <f>IF(설문!AW64="","",IFERROR(VALUE(설문!AW64),""))</f>
        <v/>
      </c>
      <c r="AX48">
        <f>IF(설문!AX64="","",IFERROR(VALUE(설문!AX64),""))</f>
        <v/>
      </c>
      <c r="AY48">
        <f>IF(설문!AY64="","",IFERROR(VALUE(설문!AY64),""))</f>
        <v/>
      </c>
      <c r="AZ48">
        <f>IF(설문!AZ64="","",IFERROR(VALUE(설문!AZ64),""))</f>
        <v/>
      </c>
      <c r="BA48">
        <f>IF(설문!BA64="","",IFERROR(VALUE(설문!BA64),""))</f>
        <v/>
      </c>
      <c r="BB48">
        <f>IF(설문!BB64="","",IFERROR(VALUE(설문!BB64),""))</f>
        <v/>
      </c>
    </row>
    <row r="49">
      <c r="A49" s="16" t="inlineStr">
        <is>
          <t>Q24_5</t>
        </is>
      </c>
      <c r="B49" s="16" t="inlineStr">
        <is>
          <t>5점척도</t>
        </is>
      </c>
      <c r="E49">
        <f>IF(설문!E65="","",IFERROR(VALUE(설문!E65),""))</f>
        <v/>
      </c>
      <c r="F49">
        <f>IF(설문!F65="","",IFERROR(VALUE(설문!F65),""))</f>
        <v/>
      </c>
      <c r="G49">
        <f>IF(설문!G65="","",IFERROR(VALUE(설문!G65),""))</f>
        <v/>
      </c>
      <c r="H49">
        <f>IF(설문!H65="","",IFERROR(VALUE(설문!H65),""))</f>
        <v/>
      </c>
      <c r="I49">
        <f>IF(설문!I65="","",IFERROR(VALUE(설문!I65),""))</f>
        <v/>
      </c>
      <c r="J49">
        <f>IF(설문!J65="","",IFERROR(VALUE(설문!J65),""))</f>
        <v/>
      </c>
      <c r="K49">
        <f>IF(설문!K65="","",IFERROR(VALUE(설문!K65),""))</f>
        <v/>
      </c>
      <c r="L49">
        <f>IF(설문!L65="","",IFERROR(VALUE(설문!L65),""))</f>
        <v/>
      </c>
      <c r="M49">
        <f>IF(설문!M65="","",IFERROR(VALUE(설문!M65),""))</f>
        <v/>
      </c>
      <c r="N49">
        <f>IF(설문!N65="","",IFERROR(VALUE(설문!N65),""))</f>
        <v/>
      </c>
      <c r="O49">
        <f>IF(설문!O65="","",IFERROR(VALUE(설문!O65),""))</f>
        <v/>
      </c>
      <c r="P49">
        <f>IF(설문!P65="","",IFERROR(VALUE(설문!P65),""))</f>
        <v/>
      </c>
      <c r="Q49">
        <f>IF(설문!Q65="","",IFERROR(VALUE(설문!Q65),""))</f>
        <v/>
      </c>
      <c r="R49">
        <f>IF(설문!R65="","",IFERROR(VALUE(설문!R65),""))</f>
        <v/>
      </c>
      <c r="S49">
        <f>IF(설문!S65="","",IFERROR(VALUE(설문!S65),""))</f>
        <v/>
      </c>
      <c r="T49">
        <f>IF(설문!T65="","",IFERROR(VALUE(설문!T65),""))</f>
        <v/>
      </c>
      <c r="U49">
        <f>IF(설문!U65="","",IFERROR(VALUE(설문!U65),""))</f>
        <v/>
      </c>
      <c r="V49">
        <f>IF(설문!V65="","",IFERROR(VALUE(설문!V65),""))</f>
        <v/>
      </c>
      <c r="W49">
        <f>IF(설문!W65="","",IFERROR(VALUE(설문!W65),""))</f>
        <v/>
      </c>
      <c r="X49">
        <f>IF(설문!X65="","",IFERROR(VALUE(설문!X65),""))</f>
        <v/>
      </c>
      <c r="Y49">
        <f>IF(설문!Y65="","",IFERROR(VALUE(설문!Y65),""))</f>
        <v/>
      </c>
      <c r="Z49">
        <f>IF(설문!Z65="","",IFERROR(VALUE(설문!Z65),""))</f>
        <v/>
      </c>
      <c r="AA49">
        <f>IF(설문!AA65="","",IFERROR(VALUE(설문!AA65),""))</f>
        <v/>
      </c>
      <c r="AB49">
        <f>IF(설문!AB65="","",IFERROR(VALUE(설문!AB65),""))</f>
        <v/>
      </c>
      <c r="AC49">
        <f>IF(설문!AC65="","",IFERROR(VALUE(설문!AC65),""))</f>
        <v/>
      </c>
      <c r="AD49">
        <f>IF(설문!AD65="","",IFERROR(VALUE(설문!AD65),""))</f>
        <v/>
      </c>
      <c r="AE49">
        <f>IF(설문!AE65="","",IFERROR(VALUE(설문!AE65),""))</f>
        <v/>
      </c>
      <c r="AF49">
        <f>IF(설문!AF65="","",IFERROR(VALUE(설문!AF65),""))</f>
        <v/>
      </c>
      <c r="AG49">
        <f>IF(설문!AG65="","",IFERROR(VALUE(설문!AG65),""))</f>
        <v/>
      </c>
      <c r="AH49">
        <f>IF(설문!AH65="","",IFERROR(VALUE(설문!AH65),""))</f>
        <v/>
      </c>
      <c r="AI49">
        <f>IF(설문!AI65="","",IFERROR(VALUE(설문!AI65),""))</f>
        <v/>
      </c>
      <c r="AJ49">
        <f>IF(설문!AJ65="","",IFERROR(VALUE(설문!AJ65),""))</f>
        <v/>
      </c>
      <c r="AK49">
        <f>IF(설문!AK65="","",IFERROR(VALUE(설문!AK65),""))</f>
        <v/>
      </c>
      <c r="AL49">
        <f>IF(설문!AL65="","",IFERROR(VALUE(설문!AL65),""))</f>
        <v/>
      </c>
      <c r="AM49">
        <f>IF(설문!AM65="","",IFERROR(VALUE(설문!AM65),""))</f>
        <v/>
      </c>
      <c r="AN49">
        <f>IF(설문!AN65="","",IFERROR(VALUE(설문!AN65),""))</f>
        <v/>
      </c>
      <c r="AO49">
        <f>IF(설문!AO65="","",IFERROR(VALUE(설문!AO65),""))</f>
        <v/>
      </c>
      <c r="AP49">
        <f>IF(설문!AP65="","",IFERROR(VALUE(설문!AP65),""))</f>
        <v/>
      </c>
      <c r="AQ49">
        <f>IF(설문!AQ65="","",IFERROR(VALUE(설문!AQ65),""))</f>
        <v/>
      </c>
      <c r="AR49">
        <f>IF(설문!AR65="","",IFERROR(VALUE(설문!AR65),""))</f>
        <v/>
      </c>
      <c r="AS49">
        <f>IF(설문!AS65="","",IFERROR(VALUE(설문!AS65),""))</f>
        <v/>
      </c>
      <c r="AT49">
        <f>IF(설문!AT65="","",IFERROR(VALUE(설문!AT65),""))</f>
        <v/>
      </c>
      <c r="AU49">
        <f>IF(설문!AU65="","",IFERROR(VALUE(설문!AU65),""))</f>
        <v/>
      </c>
      <c r="AV49">
        <f>IF(설문!AV65="","",IFERROR(VALUE(설문!AV65),""))</f>
        <v/>
      </c>
      <c r="AW49">
        <f>IF(설문!AW65="","",IFERROR(VALUE(설문!AW65),""))</f>
        <v/>
      </c>
      <c r="AX49">
        <f>IF(설문!AX65="","",IFERROR(VALUE(설문!AX65),""))</f>
        <v/>
      </c>
      <c r="AY49">
        <f>IF(설문!AY65="","",IFERROR(VALUE(설문!AY65),""))</f>
        <v/>
      </c>
      <c r="AZ49">
        <f>IF(설문!AZ65="","",IFERROR(VALUE(설문!AZ65),""))</f>
        <v/>
      </c>
      <c r="BA49">
        <f>IF(설문!BA65="","",IFERROR(VALUE(설문!BA65),""))</f>
        <v/>
      </c>
      <c r="BB49">
        <f>IF(설문!BB65="","",IFERROR(VALUE(설문!BB65),""))</f>
        <v/>
      </c>
    </row>
    <row r="51">
      <c r="A51" s="42" t="inlineStr">
        <is>
          <t>② 2025식 변환: 5점척도 (x−1)/4 · 문17 시행=1/미시행=0 · 문18 미발생=1</t>
        </is>
      </c>
    </row>
    <row r="52">
      <c r="A52" s="16" t="inlineStr">
        <is>
          <t>Q16_1</t>
        </is>
      </c>
      <c r="B52" s="16" t="inlineStr">
        <is>
          <t>노사관계 전반 인식</t>
        </is>
      </c>
      <c r="C52" s="46">
        <f>가중치!$F$5</f>
        <v/>
      </c>
      <c r="E52">
        <f>IF(E8="","",(E8-1)/4)</f>
        <v/>
      </c>
      <c r="F52">
        <f>IF(F8="","",(F8-1)/4)</f>
        <v/>
      </c>
      <c r="G52">
        <f>IF(G8="","",(G8-1)/4)</f>
        <v/>
      </c>
      <c r="H52">
        <f>IF(H8="","",(H8-1)/4)</f>
        <v/>
      </c>
      <c r="I52">
        <f>IF(I8="","",(I8-1)/4)</f>
        <v/>
      </c>
      <c r="J52">
        <f>IF(J8="","",(J8-1)/4)</f>
        <v/>
      </c>
      <c r="K52">
        <f>IF(K8="","",(K8-1)/4)</f>
        <v/>
      </c>
      <c r="L52">
        <f>IF(L8="","",(L8-1)/4)</f>
        <v/>
      </c>
      <c r="M52">
        <f>IF(M8="","",(M8-1)/4)</f>
        <v/>
      </c>
      <c r="N52">
        <f>IF(N8="","",(N8-1)/4)</f>
        <v/>
      </c>
      <c r="O52">
        <f>IF(O8="","",(O8-1)/4)</f>
        <v/>
      </c>
      <c r="P52">
        <f>IF(P8="","",(P8-1)/4)</f>
        <v/>
      </c>
      <c r="Q52">
        <f>IF(Q8="","",(Q8-1)/4)</f>
        <v/>
      </c>
      <c r="R52">
        <f>IF(R8="","",(R8-1)/4)</f>
        <v/>
      </c>
      <c r="S52">
        <f>IF(S8="","",(S8-1)/4)</f>
        <v/>
      </c>
      <c r="T52">
        <f>IF(T8="","",(T8-1)/4)</f>
        <v/>
      </c>
      <c r="U52">
        <f>IF(U8="","",(U8-1)/4)</f>
        <v/>
      </c>
      <c r="V52">
        <f>IF(V8="","",(V8-1)/4)</f>
        <v/>
      </c>
      <c r="W52">
        <f>IF(W8="","",(W8-1)/4)</f>
        <v/>
      </c>
      <c r="X52">
        <f>IF(X8="","",(X8-1)/4)</f>
        <v/>
      </c>
      <c r="Y52">
        <f>IF(Y8="","",(Y8-1)/4)</f>
        <v/>
      </c>
      <c r="Z52">
        <f>IF(Z8="","",(Z8-1)/4)</f>
        <v/>
      </c>
      <c r="AA52">
        <f>IF(AA8="","",(AA8-1)/4)</f>
        <v/>
      </c>
      <c r="AB52">
        <f>IF(AB8="","",(AB8-1)/4)</f>
        <v/>
      </c>
      <c r="AC52">
        <f>IF(AC8="","",(AC8-1)/4)</f>
        <v/>
      </c>
      <c r="AD52">
        <f>IF(AD8="","",(AD8-1)/4)</f>
        <v/>
      </c>
      <c r="AE52">
        <f>IF(AE8="","",(AE8-1)/4)</f>
        <v/>
      </c>
      <c r="AF52">
        <f>IF(AF8="","",(AF8-1)/4)</f>
        <v/>
      </c>
      <c r="AG52">
        <f>IF(AG8="","",(AG8-1)/4)</f>
        <v/>
      </c>
      <c r="AH52">
        <f>IF(AH8="","",(AH8-1)/4)</f>
        <v/>
      </c>
      <c r="AI52">
        <f>IF(AI8="","",(AI8-1)/4)</f>
        <v/>
      </c>
      <c r="AJ52">
        <f>IF(AJ8="","",(AJ8-1)/4)</f>
        <v/>
      </c>
      <c r="AK52">
        <f>IF(AK8="","",(AK8-1)/4)</f>
        <v/>
      </c>
      <c r="AL52">
        <f>IF(AL8="","",(AL8-1)/4)</f>
        <v/>
      </c>
      <c r="AM52">
        <f>IF(AM8="","",(AM8-1)/4)</f>
        <v/>
      </c>
      <c r="AN52">
        <f>IF(AN8="","",(AN8-1)/4)</f>
        <v/>
      </c>
      <c r="AO52">
        <f>IF(AO8="","",(AO8-1)/4)</f>
        <v/>
      </c>
      <c r="AP52">
        <f>IF(AP8="","",(AP8-1)/4)</f>
        <v/>
      </c>
      <c r="AQ52">
        <f>IF(AQ8="","",(AQ8-1)/4)</f>
        <v/>
      </c>
      <c r="AR52">
        <f>IF(AR8="","",(AR8-1)/4)</f>
        <v/>
      </c>
      <c r="AS52">
        <f>IF(AS8="","",(AS8-1)/4)</f>
        <v/>
      </c>
      <c r="AT52">
        <f>IF(AT8="","",(AT8-1)/4)</f>
        <v/>
      </c>
      <c r="AU52">
        <f>IF(AU8="","",(AU8-1)/4)</f>
        <v/>
      </c>
      <c r="AV52">
        <f>IF(AV8="","",(AV8-1)/4)</f>
        <v/>
      </c>
      <c r="AW52">
        <f>IF(AW8="","",(AW8-1)/4)</f>
        <v/>
      </c>
      <c r="AX52">
        <f>IF(AX8="","",(AX8-1)/4)</f>
        <v/>
      </c>
      <c r="AY52">
        <f>IF(AY8="","",(AY8-1)/4)</f>
        <v/>
      </c>
      <c r="AZ52">
        <f>IF(AZ8="","",(AZ8-1)/4)</f>
        <v/>
      </c>
      <c r="BA52">
        <f>IF(BA8="","",(BA8-1)/4)</f>
        <v/>
      </c>
      <c r="BB52">
        <f>IF(BB8="","",(BB8-1)/4)</f>
        <v/>
      </c>
    </row>
    <row r="53">
      <c r="A53" s="16" t="inlineStr">
        <is>
          <t>Q16_2</t>
        </is>
      </c>
      <c r="B53" s="16" t="inlineStr">
        <is>
          <t>노사관계 전반 인식</t>
        </is>
      </c>
      <c r="C53" s="46">
        <f>가중치!$F$6</f>
        <v/>
      </c>
      <c r="E53">
        <f>IF(E9="","",(E9-1)/4)</f>
        <v/>
      </c>
      <c r="F53">
        <f>IF(F9="","",(F9-1)/4)</f>
        <v/>
      </c>
      <c r="G53">
        <f>IF(G9="","",(G9-1)/4)</f>
        <v/>
      </c>
      <c r="H53">
        <f>IF(H9="","",(H9-1)/4)</f>
        <v/>
      </c>
      <c r="I53">
        <f>IF(I9="","",(I9-1)/4)</f>
        <v/>
      </c>
      <c r="J53">
        <f>IF(J9="","",(J9-1)/4)</f>
        <v/>
      </c>
      <c r="K53">
        <f>IF(K9="","",(K9-1)/4)</f>
        <v/>
      </c>
      <c r="L53">
        <f>IF(L9="","",(L9-1)/4)</f>
        <v/>
      </c>
      <c r="M53">
        <f>IF(M9="","",(M9-1)/4)</f>
        <v/>
      </c>
      <c r="N53">
        <f>IF(N9="","",(N9-1)/4)</f>
        <v/>
      </c>
      <c r="O53">
        <f>IF(O9="","",(O9-1)/4)</f>
        <v/>
      </c>
      <c r="P53">
        <f>IF(P9="","",(P9-1)/4)</f>
        <v/>
      </c>
      <c r="Q53">
        <f>IF(Q9="","",(Q9-1)/4)</f>
        <v/>
      </c>
      <c r="R53">
        <f>IF(R9="","",(R9-1)/4)</f>
        <v/>
      </c>
      <c r="S53">
        <f>IF(S9="","",(S9-1)/4)</f>
        <v/>
      </c>
      <c r="T53">
        <f>IF(T9="","",(T9-1)/4)</f>
        <v/>
      </c>
      <c r="U53">
        <f>IF(U9="","",(U9-1)/4)</f>
        <v/>
      </c>
      <c r="V53">
        <f>IF(V9="","",(V9-1)/4)</f>
        <v/>
      </c>
      <c r="W53">
        <f>IF(W9="","",(W9-1)/4)</f>
        <v/>
      </c>
      <c r="X53">
        <f>IF(X9="","",(X9-1)/4)</f>
        <v/>
      </c>
      <c r="Y53">
        <f>IF(Y9="","",(Y9-1)/4)</f>
        <v/>
      </c>
      <c r="Z53">
        <f>IF(Z9="","",(Z9-1)/4)</f>
        <v/>
      </c>
      <c r="AA53">
        <f>IF(AA9="","",(AA9-1)/4)</f>
        <v/>
      </c>
      <c r="AB53">
        <f>IF(AB9="","",(AB9-1)/4)</f>
        <v/>
      </c>
      <c r="AC53">
        <f>IF(AC9="","",(AC9-1)/4)</f>
        <v/>
      </c>
      <c r="AD53">
        <f>IF(AD9="","",(AD9-1)/4)</f>
        <v/>
      </c>
      <c r="AE53">
        <f>IF(AE9="","",(AE9-1)/4)</f>
        <v/>
      </c>
      <c r="AF53">
        <f>IF(AF9="","",(AF9-1)/4)</f>
        <v/>
      </c>
      <c r="AG53">
        <f>IF(AG9="","",(AG9-1)/4)</f>
        <v/>
      </c>
      <c r="AH53">
        <f>IF(AH9="","",(AH9-1)/4)</f>
        <v/>
      </c>
      <c r="AI53">
        <f>IF(AI9="","",(AI9-1)/4)</f>
        <v/>
      </c>
      <c r="AJ53">
        <f>IF(AJ9="","",(AJ9-1)/4)</f>
        <v/>
      </c>
      <c r="AK53">
        <f>IF(AK9="","",(AK9-1)/4)</f>
        <v/>
      </c>
      <c r="AL53">
        <f>IF(AL9="","",(AL9-1)/4)</f>
        <v/>
      </c>
      <c r="AM53">
        <f>IF(AM9="","",(AM9-1)/4)</f>
        <v/>
      </c>
      <c r="AN53">
        <f>IF(AN9="","",(AN9-1)/4)</f>
        <v/>
      </c>
      <c r="AO53">
        <f>IF(AO9="","",(AO9-1)/4)</f>
        <v/>
      </c>
      <c r="AP53">
        <f>IF(AP9="","",(AP9-1)/4)</f>
        <v/>
      </c>
      <c r="AQ53">
        <f>IF(AQ9="","",(AQ9-1)/4)</f>
        <v/>
      </c>
      <c r="AR53">
        <f>IF(AR9="","",(AR9-1)/4)</f>
        <v/>
      </c>
      <c r="AS53">
        <f>IF(AS9="","",(AS9-1)/4)</f>
        <v/>
      </c>
      <c r="AT53">
        <f>IF(AT9="","",(AT9-1)/4)</f>
        <v/>
      </c>
      <c r="AU53">
        <f>IF(AU9="","",(AU9-1)/4)</f>
        <v/>
      </c>
      <c r="AV53">
        <f>IF(AV9="","",(AV9-1)/4)</f>
        <v/>
      </c>
      <c r="AW53">
        <f>IF(AW9="","",(AW9-1)/4)</f>
        <v/>
      </c>
      <c r="AX53">
        <f>IF(AX9="","",(AX9-1)/4)</f>
        <v/>
      </c>
      <c r="AY53">
        <f>IF(AY9="","",(AY9-1)/4)</f>
        <v/>
      </c>
      <c r="AZ53">
        <f>IF(AZ9="","",(AZ9-1)/4)</f>
        <v/>
      </c>
      <c r="BA53">
        <f>IF(BA9="","",(BA9-1)/4)</f>
        <v/>
      </c>
      <c r="BB53">
        <f>IF(BB9="","",(BB9-1)/4)</f>
        <v/>
      </c>
    </row>
    <row r="54">
      <c r="A54" s="16" t="inlineStr">
        <is>
          <t>Q16_3</t>
        </is>
      </c>
      <c r="B54" s="16" t="inlineStr">
        <is>
          <t>노사관계 전반 인식</t>
        </is>
      </c>
      <c r="C54" s="46">
        <f>가중치!$F$7</f>
        <v/>
      </c>
      <c r="E54">
        <f>IF(E10="","",(E10-1)/4)</f>
        <v/>
      </c>
      <c r="F54">
        <f>IF(F10="","",(F10-1)/4)</f>
        <v/>
      </c>
      <c r="G54">
        <f>IF(G10="","",(G10-1)/4)</f>
        <v/>
      </c>
      <c r="H54">
        <f>IF(H10="","",(H10-1)/4)</f>
        <v/>
      </c>
      <c r="I54">
        <f>IF(I10="","",(I10-1)/4)</f>
        <v/>
      </c>
      <c r="J54">
        <f>IF(J10="","",(J10-1)/4)</f>
        <v/>
      </c>
      <c r="K54">
        <f>IF(K10="","",(K10-1)/4)</f>
        <v/>
      </c>
      <c r="L54">
        <f>IF(L10="","",(L10-1)/4)</f>
        <v/>
      </c>
      <c r="M54">
        <f>IF(M10="","",(M10-1)/4)</f>
        <v/>
      </c>
      <c r="N54">
        <f>IF(N10="","",(N10-1)/4)</f>
        <v/>
      </c>
      <c r="O54">
        <f>IF(O10="","",(O10-1)/4)</f>
        <v/>
      </c>
      <c r="P54">
        <f>IF(P10="","",(P10-1)/4)</f>
        <v/>
      </c>
      <c r="Q54">
        <f>IF(Q10="","",(Q10-1)/4)</f>
        <v/>
      </c>
      <c r="R54">
        <f>IF(R10="","",(R10-1)/4)</f>
        <v/>
      </c>
      <c r="S54">
        <f>IF(S10="","",(S10-1)/4)</f>
        <v/>
      </c>
      <c r="T54">
        <f>IF(T10="","",(T10-1)/4)</f>
        <v/>
      </c>
      <c r="U54">
        <f>IF(U10="","",(U10-1)/4)</f>
        <v/>
      </c>
      <c r="V54">
        <f>IF(V10="","",(V10-1)/4)</f>
        <v/>
      </c>
      <c r="W54">
        <f>IF(W10="","",(W10-1)/4)</f>
        <v/>
      </c>
      <c r="X54">
        <f>IF(X10="","",(X10-1)/4)</f>
        <v/>
      </c>
      <c r="Y54">
        <f>IF(Y10="","",(Y10-1)/4)</f>
        <v/>
      </c>
      <c r="Z54">
        <f>IF(Z10="","",(Z10-1)/4)</f>
        <v/>
      </c>
      <c r="AA54">
        <f>IF(AA10="","",(AA10-1)/4)</f>
        <v/>
      </c>
      <c r="AB54">
        <f>IF(AB10="","",(AB10-1)/4)</f>
        <v/>
      </c>
      <c r="AC54">
        <f>IF(AC10="","",(AC10-1)/4)</f>
        <v/>
      </c>
      <c r="AD54">
        <f>IF(AD10="","",(AD10-1)/4)</f>
        <v/>
      </c>
      <c r="AE54">
        <f>IF(AE10="","",(AE10-1)/4)</f>
        <v/>
      </c>
      <c r="AF54">
        <f>IF(AF10="","",(AF10-1)/4)</f>
        <v/>
      </c>
      <c r="AG54">
        <f>IF(AG10="","",(AG10-1)/4)</f>
        <v/>
      </c>
      <c r="AH54">
        <f>IF(AH10="","",(AH10-1)/4)</f>
        <v/>
      </c>
      <c r="AI54">
        <f>IF(AI10="","",(AI10-1)/4)</f>
        <v/>
      </c>
      <c r="AJ54">
        <f>IF(AJ10="","",(AJ10-1)/4)</f>
        <v/>
      </c>
      <c r="AK54">
        <f>IF(AK10="","",(AK10-1)/4)</f>
        <v/>
      </c>
      <c r="AL54">
        <f>IF(AL10="","",(AL10-1)/4)</f>
        <v/>
      </c>
      <c r="AM54">
        <f>IF(AM10="","",(AM10-1)/4)</f>
        <v/>
      </c>
      <c r="AN54">
        <f>IF(AN10="","",(AN10-1)/4)</f>
        <v/>
      </c>
      <c r="AO54">
        <f>IF(AO10="","",(AO10-1)/4)</f>
        <v/>
      </c>
      <c r="AP54">
        <f>IF(AP10="","",(AP10-1)/4)</f>
        <v/>
      </c>
      <c r="AQ54">
        <f>IF(AQ10="","",(AQ10-1)/4)</f>
        <v/>
      </c>
      <c r="AR54">
        <f>IF(AR10="","",(AR10-1)/4)</f>
        <v/>
      </c>
      <c r="AS54">
        <f>IF(AS10="","",(AS10-1)/4)</f>
        <v/>
      </c>
      <c r="AT54">
        <f>IF(AT10="","",(AT10-1)/4)</f>
        <v/>
      </c>
      <c r="AU54">
        <f>IF(AU10="","",(AU10-1)/4)</f>
        <v/>
      </c>
      <c r="AV54">
        <f>IF(AV10="","",(AV10-1)/4)</f>
        <v/>
      </c>
      <c r="AW54">
        <f>IF(AW10="","",(AW10-1)/4)</f>
        <v/>
      </c>
      <c r="AX54">
        <f>IF(AX10="","",(AX10-1)/4)</f>
        <v/>
      </c>
      <c r="AY54">
        <f>IF(AY10="","",(AY10-1)/4)</f>
        <v/>
      </c>
      <c r="AZ54">
        <f>IF(AZ10="","",(AZ10-1)/4)</f>
        <v/>
      </c>
      <c r="BA54">
        <f>IF(BA10="","",(BA10-1)/4)</f>
        <v/>
      </c>
      <c r="BB54">
        <f>IF(BB10="","",(BB10-1)/4)</f>
        <v/>
      </c>
    </row>
    <row r="55">
      <c r="A55" s="16" t="inlineStr">
        <is>
          <t>Q16_4</t>
        </is>
      </c>
      <c r="B55" s="16" t="inlineStr">
        <is>
          <t>노사관계 전반 인식</t>
        </is>
      </c>
      <c r="C55" s="46">
        <f>가중치!$F$8</f>
        <v/>
      </c>
      <c r="E55">
        <f>IF(E11="","",(E11-1)/4)</f>
        <v/>
      </c>
      <c r="F55">
        <f>IF(F11="","",(F11-1)/4)</f>
        <v/>
      </c>
      <c r="G55">
        <f>IF(G11="","",(G11-1)/4)</f>
        <v/>
      </c>
      <c r="H55">
        <f>IF(H11="","",(H11-1)/4)</f>
        <v/>
      </c>
      <c r="I55">
        <f>IF(I11="","",(I11-1)/4)</f>
        <v/>
      </c>
      <c r="J55">
        <f>IF(J11="","",(J11-1)/4)</f>
        <v/>
      </c>
      <c r="K55">
        <f>IF(K11="","",(K11-1)/4)</f>
        <v/>
      </c>
      <c r="L55">
        <f>IF(L11="","",(L11-1)/4)</f>
        <v/>
      </c>
      <c r="M55">
        <f>IF(M11="","",(M11-1)/4)</f>
        <v/>
      </c>
      <c r="N55">
        <f>IF(N11="","",(N11-1)/4)</f>
        <v/>
      </c>
      <c r="O55">
        <f>IF(O11="","",(O11-1)/4)</f>
        <v/>
      </c>
      <c r="P55">
        <f>IF(P11="","",(P11-1)/4)</f>
        <v/>
      </c>
      <c r="Q55">
        <f>IF(Q11="","",(Q11-1)/4)</f>
        <v/>
      </c>
      <c r="R55">
        <f>IF(R11="","",(R11-1)/4)</f>
        <v/>
      </c>
      <c r="S55">
        <f>IF(S11="","",(S11-1)/4)</f>
        <v/>
      </c>
      <c r="T55">
        <f>IF(T11="","",(T11-1)/4)</f>
        <v/>
      </c>
      <c r="U55">
        <f>IF(U11="","",(U11-1)/4)</f>
        <v/>
      </c>
      <c r="V55">
        <f>IF(V11="","",(V11-1)/4)</f>
        <v/>
      </c>
      <c r="W55">
        <f>IF(W11="","",(W11-1)/4)</f>
        <v/>
      </c>
      <c r="X55">
        <f>IF(X11="","",(X11-1)/4)</f>
        <v/>
      </c>
      <c r="Y55">
        <f>IF(Y11="","",(Y11-1)/4)</f>
        <v/>
      </c>
      <c r="Z55">
        <f>IF(Z11="","",(Z11-1)/4)</f>
        <v/>
      </c>
      <c r="AA55">
        <f>IF(AA11="","",(AA11-1)/4)</f>
        <v/>
      </c>
      <c r="AB55">
        <f>IF(AB11="","",(AB11-1)/4)</f>
        <v/>
      </c>
      <c r="AC55">
        <f>IF(AC11="","",(AC11-1)/4)</f>
        <v/>
      </c>
      <c r="AD55">
        <f>IF(AD11="","",(AD11-1)/4)</f>
        <v/>
      </c>
      <c r="AE55">
        <f>IF(AE11="","",(AE11-1)/4)</f>
        <v/>
      </c>
      <c r="AF55">
        <f>IF(AF11="","",(AF11-1)/4)</f>
        <v/>
      </c>
      <c r="AG55">
        <f>IF(AG11="","",(AG11-1)/4)</f>
        <v/>
      </c>
      <c r="AH55">
        <f>IF(AH11="","",(AH11-1)/4)</f>
        <v/>
      </c>
      <c r="AI55">
        <f>IF(AI11="","",(AI11-1)/4)</f>
        <v/>
      </c>
      <c r="AJ55">
        <f>IF(AJ11="","",(AJ11-1)/4)</f>
        <v/>
      </c>
      <c r="AK55">
        <f>IF(AK11="","",(AK11-1)/4)</f>
        <v/>
      </c>
      <c r="AL55">
        <f>IF(AL11="","",(AL11-1)/4)</f>
        <v/>
      </c>
      <c r="AM55">
        <f>IF(AM11="","",(AM11-1)/4)</f>
        <v/>
      </c>
      <c r="AN55">
        <f>IF(AN11="","",(AN11-1)/4)</f>
        <v/>
      </c>
      <c r="AO55">
        <f>IF(AO11="","",(AO11-1)/4)</f>
        <v/>
      </c>
      <c r="AP55">
        <f>IF(AP11="","",(AP11-1)/4)</f>
        <v/>
      </c>
      <c r="AQ55">
        <f>IF(AQ11="","",(AQ11-1)/4)</f>
        <v/>
      </c>
      <c r="AR55">
        <f>IF(AR11="","",(AR11-1)/4)</f>
        <v/>
      </c>
      <c r="AS55">
        <f>IF(AS11="","",(AS11-1)/4)</f>
        <v/>
      </c>
      <c r="AT55">
        <f>IF(AT11="","",(AT11-1)/4)</f>
        <v/>
      </c>
      <c r="AU55">
        <f>IF(AU11="","",(AU11-1)/4)</f>
        <v/>
      </c>
      <c r="AV55">
        <f>IF(AV11="","",(AV11-1)/4)</f>
        <v/>
      </c>
      <c r="AW55">
        <f>IF(AW11="","",(AW11-1)/4)</f>
        <v/>
      </c>
      <c r="AX55">
        <f>IF(AX11="","",(AX11-1)/4)</f>
        <v/>
      </c>
      <c r="AY55">
        <f>IF(AY11="","",(AY11-1)/4)</f>
        <v/>
      </c>
      <c r="AZ55">
        <f>IF(AZ11="","",(AZ11-1)/4)</f>
        <v/>
      </c>
      <c r="BA55">
        <f>IF(BA11="","",(BA11-1)/4)</f>
        <v/>
      </c>
      <c r="BB55">
        <f>IF(BB11="","",(BB11-1)/4)</f>
        <v/>
      </c>
    </row>
    <row r="56">
      <c r="A56" s="16" t="inlineStr">
        <is>
          <t>Q24_1</t>
        </is>
      </c>
      <c r="B56" s="16" t="inlineStr">
        <is>
          <t>노조·근로자대표의 혁신 태도</t>
        </is>
      </c>
      <c r="C56" s="46">
        <f>가중치!$F$9</f>
        <v/>
      </c>
      <c r="E56">
        <f>IF(E45="","",(E45-1)/4)</f>
        <v/>
      </c>
      <c r="F56">
        <f>IF(F45="","",(F45-1)/4)</f>
        <v/>
      </c>
      <c r="G56">
        <f>IF(G45="","",(G45-1)/4)</f>
        <v/>
      </c>
      <c r="H56">
        <f>IF(H45="","",(H45-1)/4)</f>
        <v/>
      </c>
      <c r="I56">
        <f>IF(I45="","",(I45-1)/4)</f>
        <v/>
      </c>
      <c r="J56">
        <f>IF(J45="","",(J45-1)/4)</f>
        <v/>
      </c>
      <c r="K56">
        <f>IF(K45="","",(K45-1)/4)</f>
        <v/>
      </c>
      <c r="L56">
        <f>IF(L45="","",(L45-1)/4)</f>
        <v/>
      </c>
      <c r="M56">
        <f>IF(M45="","",(M45-1)/4)</f>
        <v/>
      </c>
      <c r="N56">
        <f>IF(N45="","",(N45-1)/4)</f>
        <v/>
      </c>
      <c r="O56">
        <f>IF(O45="","",(O45-1)/4)</f>
        <v/>
      </c>
      <c r="P56">
        <f>IF(P45="","",(P45-1)/4)</f>
        <v/>
      </c>
      <c r="Q56">
        <f>IF(Q45="","",(Q45-1)/4)</f>
        <v/>
      </c>
      <c r="R56">
        <f>IF(R45="","",(R45-1)/4)</f>
        <v/>
      </c>
      <c r="S56">
        <f>IF(S45="","",(S45-1)/4)</f>
        <v/>
      </c>
      <c r="T56">
        <f>IF(T45="","",(T45-1)/4)</f>
        <v/>
      </c>
      <c r="U56">
        <f>IF(U45="","",(U45-1)/4)</f>
        <v/>
      </c>
      <c r="V56">
        <f>IF(V45="","",(V45-1)/4)</f>
        <v/>
      </c>
      <c r="W56">
        <f>IF(W45="","",(W45-1)/4)</f>
        <v/>
      </c>
      <c r="X56">
        <f>IF(X45="","",(X45-1)/4)</f>
        <v/>
      </c>
      <c r="Y56">
        <f>IF(Y45="","",(Y45-1)/4)</f>
        <v/>
      </c>
      <c r="Z56">
        <f>IF(Z45="","",(Z45-1)/4)</f>
        <v/>
      </c>
      <c r="AA56">
        <f>IF(AA45="","",(AA45-1)/4)</f>
        <v/>
      </c>
      <c r="AB56">
        <f>IF(AB45="","",(AB45-1)/4)</f>
        <v/>
      </c>
      <c r="AC56">
        <f>IF(AC45="","",(AC45-1)/4)</f>
        <v/>
      </c>
      <c r="AD56">
        <f>IF(AD45="","",(AD45-1)/4)</f>
        <v/>
      </c>
      <c r="AE56">
        <f>IF(AE45="","",(AE45-1)/4)</f>
        <v/>
      </c>
      <c r="AF56">
        <f>IF(AF45="","",(AF45-1)/4)</f>
        <v/>
      </c>
      <c r="AG56">
        <f>IF(AG45="","",(AG45-1)/4)</f>
        <v/>
      </c>
      <c r="AH56">
        <f>IF(AH45="","",(AH45-1)/4)</f>
        <v/>
      </c>
      <c r="AI56">
        <f>IF(AI45="","",(AI45-1)/4)</f>
        <v/>
      </c>
      <c r="AJ56">
        <f>IF(AJ45="","",(AJ45-1)/4)</f>
        <v/>
      </c>
      <c r="AK56">
        <f>IF(AK45="","",(AK45-1)/4)</f>
        <v/>
      </c>
      <c r="AL56">
        <f>IF(AL45="","",(AL45-1)/4)</f>
        <v/>
      </c>
      <c r="AM56">
        <f>IF(AM45="","",(AM45-1)/4)</f>
        <v/>
      </c>
      <c r="AN56">
        <f>IF(AN45="","",(AN45-1)/4)</f>
        <v/>
      </c>
      <c r="AO56">
        <f>IF(AO45="","",(AO45-1)/4)</f>
        <v/>
      </c>
      <c r="AP56">
        <f>IF(AP45="","",(AP45-1)/4)</f>
        <v/>
      </c>
      <c r="AQ56">
        <f>IF(AQ45="","",(AQ45-1)/4)</f>
        <v/>
      </c>
      <c r="AR56">
        <f>IF(AR45="","",(AR45-1)/4)</f>
        <v/>
      </c>
      <c r="AS56">
        <f>IF(AS45="","",(AS45-1)/4)</f>
        <v/>
      </c>
      <c r="AT56">
        <f>IF(AT45="","",(AT45-1)/4)</f>
        <v/>
      </c>
      <c r="AU56">
        <f>IF(AU45="","",(AU45-1)/4)</f>
        <v/>
      </c>
      <c r="AV56">
        <f>IF(AV45="","",(AV45-1)/4)</f>
        <v/>
      </c>
      <c r="AW56">
        <f>IF(AW45="","",(AW45-1)/4)</f>
        <v/>
      </c>
      <c r="AX56">
        <f>IF(AX45="","",(AX45-1)/4)</f>
        <v/>
      </c>
      <c r="AY56">
        <f>IF(AY45="","",(AY45-1)/4)</f>
        <v/>
      </c>
      <c r="AZ56">
        <f>IF(AZ45="","",(AZ45-1)/4)</f>
        <v/>
      </c>
      <c r="BA56">
        <f>IF(BA45="","",(BA45-1)/4)</f>
        <v/>
      </c>
      <c r="BB56">
        <f>IF(BB45="","",(BB45-1)/4)</f>
        <v/>
      </c>
    </row>
    <row r="57">
      <c r="A57" s="16" t="inlineStr">
        <is>
          <t>Q24_2</t>
        </is>
      </c>
      <c r="B57" s="16" t="inlineStr">
        <is>
          <t>노조·근로자대표의 혁신 태도</t>
        </is>
      </c>
      <c r="C57" s="46">
        <f>가중치!$F$10</f>
        <v/>
      </c>
      <c r="E57">
        <f>IF(E46="","",(E46-1)/4)</f>
        <v/>
      </c>
      <c r="F57">
        <f>IF(F46="","",(F46-1)/4)</f>
        <v/>
      </c>
      <c r="G57">
        <f>IF(G46="","",(G46-1)/4)</f>
        <v/>
      </c>
      <c r="H57">
        <f>IF(H46="","",(H46-1)/4)</f>
        <v/>
      </c>
      <c r="I57">
        <f>IF(I46="","",(I46-1)/4)</f>
        <v/>
      </c>
      <c r="J57">
        <f>IF(J46="","",(J46-1)/4)</f>
        <v/>
      </c>
      <c r="K57">
        <f>IF(K46="","",(K46-1)/4)</f>
        <v/>
      </c>
      <c r="L57">
        <f>IF(L46="","",(L46-1)/4)</f>
        <v/>
      </c>
      <c r="M57">
        <f>IF(M46="","",(M46-1)/4)</f>
        <v/>
      </c>
      <c r="N57">
        <f>IF(N46="","",(N46-1)/4)</f>
        <v/>
      </c>
      <c r="O57">
        <f>IF(O46="","",(O46-1)/4)</f>
        <v/>
      </c>
      <c r="P57">
        <f>IF(P46="","",(P46-1)/4)</f>
        <v/>
      </c>
      <c r="Q57">
        <f>IF(Q46="","",(Q46-1)/4)</f>
        <v/>
      </c>
      <c r="R57">
        <f>IF(R46="","",(R46-1)/4)</f>
        <v/>
      </c>
      <c r="S57">
        <f>IF(S46="","",(S46-1)/4)</f>
        <v/>
      </c>
      <c r="T57">
        <f>IF(T46="","",(T46-1)/4)</f>
        <v/>
      </c>
      <c r="U57">
        <f>IF(U46="","",(U46-1)/4)</f>
        <v/>
      </c>
      <c r="V57">
        <f>IF(V46="","",(V46-1)/4)</f>
        <v/>
      </c>
      <c r="W57">
        <f>IF(W46="","",(W46-1)/4)</f>
        <v/>
      </c>
      <c r="X57">
        <f>IF(X46="","",(X46-1)/4)</f>
        <v/>
      </c>
      <c r="Y57">
        <f>IF(Y46="","",(Y46-1)/4)</f>
        <v/>
      </c>
      <c r="Z57">
        <f>IF(Z46="","",(Z46-1)/4)</f>
        <v/>
      </c>
      <c r="AA57">
        <f>IF(AA46="","",(AA46-1)/4)</f>
        <v/>
      </c>
      <c r="AB57">
        <f>IF(AB46="","",(AB46-1)/4)</f>
        <v/>
      </c>
      <c r="AC57">
        <f>IF(AC46="","",(AC46-1)/4)</f>
        <v/>
      </c>
      <c r="AD57">
        <f>IF(AD46="","",(AD46-1)/4)</f>
        <v/>
      </c>
      <c r="AE57">
        <f>IF(AE46="","",(AE46-1)/4)</f>
        <v/>
      </c>
      <c r="AF57">
        <f>IF(AF46="","",(AF46-1)/4)</f>
        <v/>
      </c>
      <c r="AG57">
        <f>IF(AG46="","",(AG46-1)/4)</f>
        <v/>
      </c>
      <c r="AH57">
        <f>IF(AH46="","",(AH46-1)/4)</f>
        <v/>
      </c>
      <c r="AI57">
        <f>IF(AI46="","",(AI46-1)/4)</f>
        <v/>
      </c>
      <c r="AJ57">
        <f>IF(AJ46="","",(AJ46-1)/4)</f>
        <v/>
      </c>
      <c r="AK57">
        <f>IF(AK46="","",(AK46-1)/4)</f>
        <v/>
      </c>
      <c r="AL57">
        <f>IF(AL46="","",(AL46-1)/4)</f>
        <v/>
      </c>
      <c r="AM57">
        <f>IF(AM46="","",(AM46-1)/4)</f>
        <v/>
      </c>
      <c r="AN57">
        <f>IF(AN46="","",(AN46-1)/4)</f>
        <v/>
      </c>
      <c r="AO57">
        <f>IF(AO46="","",(AO46-1)/4)</f>
        <v/>
      </c>
      <c r="AP57">
        <f>IF(AP46="","",(AP46-1)/4)</f>
        <v/>
      </c>
      <c r="AQ57">
        <f>IF(AQ46="","",(AQ46-1)/4)</f>
        <v/>
      </c>
      <c r="AR57">
        <f>IF(AR46="","",(AR46-1)/4)</f>
        <v/>
      </c>
      <c r="AS57">
        <f>IF(AS46="","",(AS46-1)/4)</f>
        <v/>
      </c>
      <c r="AT57">
        <f>IF(AT46="","",(AT46-1)/4)</f>
        <v/>
      </c>
      <c r="AU57">
        <f>IF(AU46="","",(AU46-1)/4)</f>
        <v/>
      </c>
      <c r="AV57">
        <f>IF(AV46="","",(AV46-1)/4)</f>
        <v/>
      </c>
      <c r="AW57">
        <f>IF(AW46="","",(AW46-1)/4)</f>
        <v/>
      </c>
      <c r="AX57">
        <f>IF(AX46="","",(AX46-1)/4)</f>
        <v/>
      </c>
      <c r="AY57">
        <f>IF(AY46="","",(AY46-1)/4)</f>
        <v/>
      </c>
      <c r="AZ57">
        <f>IF(AZ46="","",(AZ46-1)/4)</f>
        <v/>
      </c>
      <c r="BA57">
        <f>IF(BA46="","",(BA46-1)/4)</f>
        <v/>
      </c>
      <c r="BB57">
        <f>IF(BB46="","",(BB46-1)/4)</f>
        <v/>
      </c>
    </row>
    <row r="58">
      <c r="A58" s="16" t="inlineStr">
        <is>
          <t>Q24_3</t>
        </is>
      </c>
      <c r="B58" s="16" t="inlineStr">
        <is>
          <t>노조·근로자대표의 혁신 태도</t>
        </is>
      </c>
      <c r="C58" s="46">
        <f>가중치!$F$11</f>
        <v/>
      </c>
      <c r="E58">
        <f>IF(E47="","",(E47-1)/4)</f>
        <v/>
      </c>
      <c r="F58">
        <f>IF(F47="","",(F47-1)/4)</f>
        <v/>
      </c>
      <c r="G58">
        <f>IF(G47="","",(G47-1)/4)</f>
        <v/>
      </c>
      <c r="H58">
        <f>IF(H47="","",(H47-1)/4)</f>
        <v/>
      </c>
      <c r="I58">
        <f>IF(I47="","",(I47-1)/4)</f>
        <v/>
      </c>
      <c r="J58">
        <f>IF(J47="","",(J47-1)/4)</f>
        <v/>
      </c>
      <c r="K58">
        <f>IF(K47="","",(K47-1)/4)</f>
        <v/>
      </c>
      <c r="L58">
        <f>IF(L47="","",(L47-1)/4)</f>
        <v/>
      </c>
      <c r="M58">
        <f>IF(M47="","",(M47-1)/4)</f>
        <v/>
      </c>
      <c r="N58">
        <f>IF(N47="","",(N47-1)/4)</f>
        <v/>
      </c>
      <c r="O58">
        <f>IF(O47="","",(O47-1)/4)</f>
        <v/>
      </c>
      <c r="P58">
        <f>IF(P47="","",(P47-1)/4)</f>
        <v/>
      </c>
      <c r="Q58">
        <f>IF(Q47="","",(Q47-1)/4)</f>
        <v/>
      </c>
      <c r="R58">
        <f>IF(R47="","",(R47-1)/4)</f>
        <v/>
      </c>
      <c r="S58">
        <f>IF(S47="","",(S47-1)/4)</f>
        <v/>
      </c>
      <c r="T58">
        <f>IF(T47="","",(T47-1)/4)</f>
        <v/>
      </c>
      <c r="U58">
        <f>IF(U47="","",(U47-1)/4)</f>
        <v/>
      </c>
      <c r="V58">
        <f>IF(V47="","",(V47-1)/4)</f>
        <v/>
      </c>
      <c r="W58">
        <f>IF(W47="","",(W47-1)/4)</f>
        <v/>
      </c>
      <c r="X58">
        <f>IF(X47="","",(X47-1)/4)</f>
        <v/>
      </c>
      <c r="Y58">
        <f>IF(Y47="","",(Y47-1)/4)</f>
        <v/>
      </c>
      <c r="Z58">
        <f>IF(Z47="","",(Z47-1)/4)</f>
        <v/>
      </c>
      <c r="AA58">
        <f>IF(AA47="","",(AA47-1)/4)</f>
        <v/>
      </c>
      <c r="AB58">
        <f>IF(AB47="","",(AB47-1)/4)</f>
        <v/>
      </c>
      <c r="AC58">
        <f>IF(AC47="","",(AC47-1)/4)</f>
        <v/>
      </c>
      <c r="AD58">
        <f>IF(AD47="","",(AD47-1)/4)</f>
        <v/>
      </c>
      <c r="AE58">
        <f>IF(AE47="","",(AE47-1)/4)</f>
        <v/>
      </c>
      <c r="AF58">
        <f>IF(AF47="","",(AF47-1)/4)</f>
        <v/>
      </c>
      <c r="AG58">
        <f>IF(AG47="","",(AG47-1)/4)</f>
        <v/>
      </c>
      <c r="AH58">
        <f>IF(AH47="","",(AH47-1)/4)</f>
        <v/>
      </c>
      <c r="AI58">
        <f>IF(AI47="","",(AI47-1)/4)</f>
        <v/>
      </c>
      <c r="AJ58">
        <f>IF(AJ47="","",(AJ47-1)/4)</f>
        <v/>
      </c>
      <c r="AK58">
        <f>IF(AK47="","",(AK47-1)/4)</f>
        <v/>
      </c>
      <c r="AL58">
        <f>IF(AL47="","",(AL47-1)/4)</f>
        <v/>
      </c>
      <c r="AM58">
        <f>IF(AM47="","",(AM47-1)/4)</f>
        <v/>
      </c>
      <c r="AN58">
        <f>IF(AN47="","",(AN47-1)/4)</f>
        <v/>
      </c>
      <c r="AO58">
        <f>IF(AO47="","",(AO47-1)/4)</f>
        <v/>
      </c>
      <c r="AP58">
        <f>IF(AP47="","",(AP47-1)/4)</f>
        <v/>
      </c>
      <c r="AQ58">
        <f>IF(AQ47="","",(AQ47-1)/4)</f>
        <v/>
      </c>
      <c r="AR58">
        <f>IF(AR47="","",(AR47-1)/4)</f>
        <v/>
      </c>
      <c r="AS58">
        <f>IF(AS47="","",(AS47-1)/4)</f>
        <v/>
      </c>
      <c r="AT58">
        <f>IF(AT47="","",(AT47-1)/4)</f>
        <v/>
      </c>
      <c r="AU58">
        <f>IF(AU47="","",(AU47-1)/4)</f>
        <v/>
      </c>
      <c r="AV58">
        <f>IF(AV47="","",(AV47-1)/4)</f>
        <v/>
      </c>
      <c r="AW58">
        <f>IF(AW47="","",(AW47-1)/4)</f>
        <v/>
      </c>
      <c r="AX58">
        <f>IF(AX47="","",(AX47-1)/4)</f>
        <v/>
      </c>
      <c r="AY58">
        <f>IF(AY47="","",(AY47-1)/4)</f>
        <v/>
      </c>
      <c r="AZ58">
        <f>IF(AZ47="","",(AZ47-1)/4)</f>
        <v/>
      </c>
      <c r="BA58">
        <f>IF(BA47="","",(BA47-1)/4)</f>
        <v/>
      </c>
      <c r="BB58">
        <f>IF(BB47="","",(BB47-1)/4)</f>
        <v/>
      </c>
    </row>
    <row r="59">
      <c r="A59" s="16" t="inlineStr">
        <is>
          <t>Q24_4</t>
        </is>
      </c>
      <c r="B59" s="16" t="inlineStr">
        <is>
          <t>노조·근로자대표의 혁신 태도</t>
        </is>
      </c>
      <c r="C59" s="46">
        <f>가중치!$F$12</f>
        <v/>
      </c>
      <c r="E59">
        <f>IF(E48="","",(E48-1)/4)</f>
        <v/>
      </c>
      <c r="F59">
        <f>IF(F48="","",(F48-1)/4)</f>
        <v/>
      </c>
      <c r="G59">
        <f>IF(G48="","",(G48-1)/4)</f>
        <v/>
      </c>
      <c r="H59">
        <f>IF(H48="","",(H48-1)/4)</f>
        <v/>
      </c>
      <c r="I59">
        <f>IF(I48="","",(I48-1)/4)</f>
        <v/>
      </c>
      <c r="J59">
        <f>IF(J48="","",(J48-1)/4)</f>
        <v/>
      </c>
      <c r="K59">
        <f>IF(K48="","",(K48-1)/4)</f>
        <v/>
      </c>
      <c r="L59">
        <f>IF(L48="","",(L48-1)/4)</f>
        <v/>
      </c>
      <c r="M59">
        <f>IF(M48="","",(M48-1)/4)</f>
        <v/>
      </c>
      <c r="N59">
        <f>IF(N48="","",(N48-1)/4)</f>
        <v/>
      </c>
      <c r="O59">
        <f>IF(O48="","",(O48-1)/4)</f>
        <v/>
      </c>
      <c r="P59">
        <f>IF(P48="","",(P48-1)/4)</f>
        <v/>
      </c>
      <c r="Q59">
        <f>IF(Q48="","",(Q48-1)/4)</f>
        <v/>
      </c>
      <c r="R59">
        <f>IF(R48="","",(R48-1)/4)</f>
        <v/>
      </c>
      <c r="S59">
        <f>IF(S48="","",(S48-1)/4)</f>
        <v/>
      </c>
      <c r="T59">
        <f>IF(T48="","",(T48-1)/4)</f>
        <v/>
      </c>
      <c r="U59">
        <f>IF(U48="","",(U48-1)/4)</f>
        <v/>
      </c>
      <c r="V59">
        <f>IF(V48="","",(V48-1)/4)</f>
        <v/>
      </c>
      <c r="W59">
        <f>IF(W48="","",(W48-1)/4)</f>
        <v/>
      </c>
      <c r="X59">
        <f>IF(X48="","",(X48-1)/4)</f>
        <v/>
      </c>
      <c r="Y59">
        <f>IF(Y48="","",(Y48-1)/4)</f>
        <v/>
      </c>
      <c r="Z59">
        <f>IF(Z48="","",(Z48-1)/4)</f>
        <v/>
      </c>
      <c r="AA59">
        <f>IF(AA48="","",(AA48-1)/4)</f>
        <v/>
      </c>
      <c r="AB59">
        <f>IF(AB48="","",(AB48-1)/4)</f>
        <v/>
      </c>
      <c r="AC59">
        <f>IF(AC48="","",(AC48-1)/4)</f>
        <v/>
      </c>
      <c r="AD59">
        <f>IF(AD48="","",(AD48-1)/4)</f>
        <v/>
      </c>
      <c r="AE59">
        <f>IF(AE48="","",(AE48-1)/4)</f>
        <v/>
      </c>
      <c r="AF59">
        <f>IF(AF48="","",(AF48-1)/4)</f>
        <v/>
      </c>
      <c r="AG59">
        <f>IF(AG48="","",(AG48-1)/4)</f>
        <v/>
      </c>
      <c r="AH59">
        <f>IF(AH48="","",(AH48-1)/4)</f>
        <v/>
      </c>
      <c r="AI59">
        <f>IF(AI48="","",(AI48-1)/4)</f>
        <v/>
      </c>
      <c r="AJ59">
        <f>IF(AJ48="","",(AJ48-1)/4)</f>
        <v/>
      </c>
      <c r="AK59">
        <f>IF(AK48="","",(AK48-1)/4)</f>
        <v/>
      </c>
      <c r="AL59">
        <f>IF(AL48="","",(AL48-1)/4)</f>
        <v/>
      </c>
      <c r="AM59">
        <f>IF(AM48="","",(AM48-1)/4)</f>
        <v/>
      </c>
      <c r="AN59">
        <f>IF(AN48="","",(AN48-1)/4)</f>
        <v/>
      </c>
      <c r="AO59">
        <f>IF(AO48="","",(AO48-1)/4)</f>
        <v/>
      </c>
      <c r="AP59">
        <f>IF(AP48="","",(AP48-1)/4)</f>
        <v/>
      </c>
      <c r="AQ59">
        <f>IF(AQ48="","",(AQ48-1)/4)</f>
        <v/>
      </c>
      <c r="AR59">
        <f>IF(AR48="","",(AR48-1)/4)</f>
        <v/>
      </c>
      <c r="AS59">
        <f>IF(AS48="","",(AS48-1)/4)</f>
        <v/>
      </c>
      <c r="AT59">
        <f>IF(AT48="","",(AT48-1)/4)</f>
        <v/>
      </c>
      <c r="AU59">
        <f>IF(AU48="","",(AU48-1)/4)</f>
        <v/>
      </c>
      <c r="AV59">
        <f>IF(AV48="","",(AV48-1)/4)</f>
        <v/>
      </c>
      <c r="AW59">
        <f>IF(AW48="","",(AW48-1)/4)</f>
        <v/>
      </c>
      <c r="AX59">
        <f>IF(AX48="","",(AX48-1)/4)</f>
        <v/>
      </c>
      <c r="AY59">
        <f>IF(AY48="","",(AY48-1)/4)</f>
        <v/>
      </c>
      <c r="AZ59">
        <f>IF(AZ48="","",(AZ48-1)/4)</f>
        <v/>
      </c>
      <c r="BA59">
        <f>IF(BA48="","",(BA48-1)/4)</f>
        <v/>
      </c>
      <c r="BB59">
        <f>IF(BB48="","",(BB48-1)/4)</f>
        <v/>
      </c>
    </row>
    <row r="60">
      <c r="A60" s="16" t="inlineStr">
        <is>
          <t>Q24_5</t>
        </is>
      </c>
      <c r="B60" s="16" t="inlineStr">
        <is>
          <t>노조·근로자대표의 혁신 태도</t>
        </is>
      </c>
      <c r="C60" s="46">
        <f>가중치!$F$13</f>
        <v/>
      </c>
      <c r="E60">
        <f>IF(E49="","",(E49-1)/4)</f>
        <v/>
      </c>
      <c r="F60">
        <f>IF(F49="","",(F49-1)/4)</f>
        <v/>
      </c>
      <c r="G60">
        <f>IF(G49="","",(G49-1)/4)</f>
        <v/>
      </c>
      <c r="H60">
        <f>IF(H49="","",(H49-1)/4)</f>
        <v/>
      </c>
      <c r="I60">
        <f>IF(I49="","",(I49-1)/4)</f>
        <v/>
      </c>
      <c r="J60">
        <f>IF(J49="","",(J49-1)/4)</f>
        <v/>
      </c>
      <c r="K60">
        <f>IF(K49="","",(K49-1)/4)</f>
        <v/>
      </c>
      <c r="L60">
        <f>IF(L49="","",(L49-1)/4)</f>
        <v/>
      </c>
      <c r="M60">
        <f>IF(M49="","",(M49-1)/4)</f>
        <v/>
      </c>
      <c r="N60">
        <f>IF(N49="","",(N49-1)/4)</f>
        <v/>
      </c>
      <c r="O60">
        <f>IF(O49="","",(O49-1)/4)</f>
        <v/>
      </c>
      <c r="P60">
        <f>IF(P49="","",(P49-1)/4)</f>
        <v/>
      </c>
      <c r="Q60">
        <f>IF(Q49="","",(Q49-1)/4)</f>
        <v/>
      </c>
      <c r="R60">
        <f>IF(R49="","",(R49-1)/4)</f>
        <v/>
      </c>
      <c r="S60">
        <f>IF(S49="","",(S49-1)/4)</f>
        <v/>
      </c>
      <c r="T60">
        <f>IF(T49="","",(T49-1)/4)</f>
        <v/>
      </c>
      <c r="U60">
        <f>IF(U49="","",(U49-1)/4)</f>
        <v/>
      </c>
      <c r="V60">
        <f>IF(V49="","",(V49-1)/4)</f>
        <v/>
      </c>
      <c r="W60">
        <f>IF(W49="","",(W49-1)/4)</f>
        <v/>
      </c>
      <c r="X60">
        <f>IF(X49="","",(X49-1)/4)</f>
        <v/>
      </c>
      <c r="Y60">
        <f>IF(Y49="","",(Y49-1)/4)</f>
        <v/>
      </c>
      <c r="Z60">
        <f>IF(Z49="","",(Z49-1)/4)</f>
        <v/>
      </c>
      <c r="AA60">
        <f>IF(AA49="","",(AA49-1)/4)</f>
        <v/>
      </c>
      <c r="AB60">
        <f>IF(AB49="","",(AB49-1)/4)</f>
        <v/>
      </c>
      <c r="AC60">
        <f>IF(AC49="","",(AC49-1)/4)</f>
        <v/>
      </c>
      <c r="AD60">
        <f>IF(AD49="","",(AD49-1)/4)</f>
        <v/>
      </c>
      <c r="AE60">
        <f>IF(AE49="","",(AE49-1)/4)</f>
        <v/>
      </c>
      <c r="AF60">
        <f>IF(AF49="","",(AF49-1)/4)</f>
        <v/>
      </c>
      <c r="AG60">
        <f>IF(AG49="","",(AG49-1)/4)</f>
        <v/>
      </c>
      <c r="AH60">
        <f>IF(AH49="","",(AH49-1)/4)</f>
        <v/>
      </c>
      <c r="AI60">
        <f>IF(AI49="","",(AI49-1)/4)</f>
        <v/>
      </c>
      <c r="AJ60">
        <f>IF(AJ49="","",(AJ49-1)/4)</f>
        <v/>
      </c>
      <c r="AK60">
        <f>IF(AK49="","",(AK49-1)/4)</f>
        <v/>
      </c>
      <c r="AL60">
        <f>IF(AL49="","",(AL49-1)/4)</f>
        <v/>
      </c>
      <c r="AM60">
        <f>IF(AM49="","",(AM49-1)/4)</f>
        <v/>
      </c>
      <c r="AN60">
        <f>IF(AN49="","",(AN49-1)/4)</f>
        <v/>
      </c>
      <c r="AO60">
        <f>IF(AO49="","",(AO49-1)/4)</f>
        <v/>
      </c>
      <c r="AP60">
        <f>IF(AP49="","",(AP49-1)/4)</f>
        <v/>
      </c>
      <c r="AQ60">
        <f>IF(AQ49="","",(AQ49-1)/4)</f>
        <v/>
      </c>
      <c r="AR60">
        <f>IF(AR49="","",(AR49-1)/4)</f>
        <v/>
      </c>
      <c r="AS60">
        <f>IF(AS49="","",(AS49-1)/4)</f>
        <v/>
      </c>
      <c r="AT60">
        <f>IF(AT49="","",(AT49-1)/4)</f>
        <v/>
      </c>
      <c r="AU60">
        <f>IF(AU49="","",(AU49-1)/4)</f>
        <v/>
      </c>
      <c r="AV60">
        <f>IF(AV49="","",(AV49-1)/4)</f>
        <v/>
      </c>
      <c r="AW60">
        <f>IF(AW49="","",(AW49-1)/4)</f>
        <v/>
      </c>
      <c r="AX60">
        <f>IF(AX49="","",(AX49-1)/4)</f>
        <v/>
      </c>
      <c r="AY60">
        <f>IF(AY49="","",(AY49-1)/4)</f>
        <v/>
      </c>
      <c r="AZ60">
        <f>IF(AZ49="","",(AZ49-1)/4)</f>
        <v/>
      </c>
      <c r="BA60">
        <f>IF(BA49="","",(BA49-1)/4)</f>
        <v/>
      </c>
      <c r="BB60">
        <f>IF(BB49="","",(BB49-1)/4)</f>
        <v/>
      </c>
    </row>
    <row r="61">
      <c r="A61" s="16" t="inlineStr">
        <is>
          <t>Q17_1</t>
        </is>
      </c>
      <c r="B61" s="16" t="inlineStr">
        <is>
          <t>노사협력 프로그램</t>
        </is>
      </c>
      <c r="C61" s="46">
        <f>가중치!$F$14</f>
        <v/>
      </c>
      <c r="E61">
        <f>IF(E12="","",E12)</f>
        <v/>
      </c>
      <c r="F61">
        <f>IF(F12="","",F12)</f>
        <v/>
      </c>
      <c r="G61">
        <f>IF(G12="","",G12)</f>
        <v/>
      </c>
      <c r="H61">
        <f>IF(H12="","",H12)</f>
        <v/>
      </c>
      <c r="I61">
        <f>IF(I12="","",I12)</f>
        <v/>
      </c>
      <c r="J61">
        <f>IF(J12="","",J12)</f>
        <v/>
      </c>
      <c r="K61">
        <f>IF(K12="","",K12)</f>
        <v/>
      </c>
      <c r="L61">
        <f>IF(L12="","",L12)</f>
        <v/>
      </c>
      <c r="M61">
        <f>IF(M12="","",M12)</f>
        <v/>
      </c>
      <c r="N61">
        <f>IF(N12="","",N12)</f>
        <v/>
      </c>
      <c r="O61">
        <f>IF(O12="","",O12)</f>
        <v/>
      </c>
      <c r="P61">
        <f>IF(P12="","",P12)</f>
        <v/>
      </c>
      <c r="Q61">
        <f>IF(Q12="","",Q12)</f>
        <v/>
      </c>
      <c r="R61">
        <f>IF(R12="","",R12)</f>
        <v/>
      </c>
      <c r="S61">
        <f>IF(S12="","",S12)</f>
        <v/>
      </c>
      <c r="T61">
        <f>IF(T12="","",T12)</f>
        <v/>
      </c>
      <c r="U61">
        <f>IF(U12="","",U12)</f>
        <v/>
      </c>
      <c r="V61">
        <f>IF(V12="","",V12)</f>
        <v/>
      </c>
      <c r="W61">
        <f>IF(W12="","",W12)</f>
        <v/>
      </c>
      <c r="X61">
        <f>IF(X12="","",X12)</f>
        <v/>
      </c>
      <c r="Y61">
        <f>IF(Y12="","",Y12)</f>
        <v/>
      </c>
      <c r="Z61">
        <f>IF(Z12="","",Z12)</f>
        <v/>
      </c>
      <c r="AA61">
        <f>IF(AA12="","",AA12)</f>
        <v/>
      </c>
      <c r="AB61">
        <f>IF(AB12="","",AB12)</f>
        <v/>
      </c>
      <c r="AC61">
        <f>IF(AC12="","",AC12)</f>
        <v/>
      </c>
      <c r="AD61">
        <f>IF(AD12="","",AD12)</f>
        <v/>
      </c>
      <c r="AE61">
        <f>IF(AE12="","",AE12)</f>
        <v/>
      </c>
      <c r="AF61">
        <f>IF(AF12="","",AF12)</f>
        <v/>
      </c>
      <c r="AG61">
        <f>IF(AG12="","",AG12)</f>
        <v/>
      </c>
      <c r="AH61">
        <f>IF(AH12="","",AH12)</f>
        <v/>
      </c>
      <c r="AI61">
        <f>IF(AI12="","",AI12)</f>
        <v/>
      </c>
      <c r="AJ61">
        <f>IF(AJ12="","",AJ12)</f>
        <v/>
      </c>
      <c r="AK61">
        <f>IF(AK12="","",AK12)</f>
        <v/>
      </c>
      <c r="AL61">
        <f>IF(AL12="","",AL12)</f>
        <v/>
      </c>
      <c r="AM61">
        <f>IF(AM12="","",AM12)</f>
        <v/>
      </c>
      <c r="AN61">
        <f>IF(AN12="","",AN12)</f>
        <v/>
      </c>
      <c r="AO61">
        <f>IF(AO12="","",AO12)</f>
        <v/>
      </c>
      <c r="AP61">
        <f>IF(AP12="","",AP12)</f>
        <v/>
      </c>
      <c r="AQ61">
        <f>IF(AQ12="","",AQ12)</f>
        <v/>
      </c>
      <c r="AR61">
        <f>IF(AR12="","",AR12)</f>
        <v/>
      </c>
      <c r="AS61">
        <f>IF(AS12="","",AS12)</f>
        <v/>
      </c>
      <c r="AT61">
        <f>IF(AT12="","",AT12)</f>
        <v/>
      </c>
      <c r="AU61">
        <f>IF(AU12="","",AU12)</f>
        <v/>
      </c>
      <c r="AV61">
        <f>IF(AV12="","",AV12)</f>
        <v/>
      </c>
      <c r="AW61">
        <f>IF(AW12="","",AW12)</f>
        <v/>
      </c>
      <c r="AX61">
        <f>IF(AX12="","",AX12)</f>
        <v/>
      </c>
      <c r="AY61">
        <f>IF(AY12="","",AY12)</f>
        <v/>
      </c>
      <c r="AZ61">
        <f>IF(AZ12="","",AZ12)</f>
        <v/>
      </c>
      <c r="BA61">
        <f>IF(BA12="","",BA12)</f>
        <v/>
      </c>
      <c r="BB61">
        <f>IF(BB12="","",BB12)</f>
        <v/>
      </c>
    </row>
    <row r="62">
      <c r="A62" s="16" t="inlineStr">
        <is>
          <t>Q17_2</t>
        </is>
      </c>
      <c r="B62" s="16" t="inlineStr">
        <is>
          <t>노사협력 프로그램</t>
        </is>
      </c>
      <c r="C62" s="46">
        <f>가중치!$F$15</f>
        <v/>
      </c>
      <c r="E62">
        <f>IF(E14="","",E14)</f>
        <v/>
      </c>
      <c r="F62">
        <f>IF(F14="","",F14)</f>
        <v/>
      </c>
      <c r="G62">
        <f>IF(G14="","",G14)</f>
        <v/>
      </c>
      <c r="H62">
        <f>IF(H14="","",H14)</f>
        <v/>
      </c>
      <c r="I62">
        <f>IF(I14="","",I14)</f>
        <v/>
      </c>
      <c r="J62">
        <f>IF(J14="","",J14)</f>
        <v/>
      </c>
      <c r="K62">
        <f>IF(K14="","",K14)</f>
        <v/>
      </c>
      <c r="L62">
        <f>IF(L14="","",L14)</f>
        <v/>
      </c>
      <c r="M62">
        <f>IF(M14="","",M14)</f>
        <v/>
      </c>
      <c r="N62">
        <f>IF(N14="","",N14)</f>
        <v/>
      </c>
      <c r="O62">
        <f>IF(O14="","",O14)</f>
        <v/>
      </c>
      <c r="P62">
        <f>IF(P14="","",P14)</f>
        <v/>
      </c>
      <c r="Q62">
        <f>IF(Q14="","",Q14)</f>
        <v/>
      </c>
      <c r="R62">
        <f>IF(R14="","",R14)</f>
        <v/>
      </c>
      <c r="S62">
        <f>IF(S14="","",S14)</f>
        <v/>
      </c>
      <c r="T62">
        <f>IF(T14="","",T14)</f>
        <v/>
      </c>
      <c r="U62">
        <f>IF(U14="","",U14)</f>
        <v/>
      </c>
      <c r="V62">
        <f>IF(V14="","",V14)</f>
        <v/>
      </c>
      <c r="W62">
        <f>IF(W14="","",W14)</f>
        <v/>
      </c>
      <c r="X62">
        <f>IF(X14="","",X14)</f>
        <v/>
      </c>
      <c r="Y62">
        <f>IF(Y14="","",Y14)</f>
        <v/>
      </c>
      <c r="Z62">
        <f>IF(Z14="","",Z14)</f>
        <v/>
      </c>
      <c r="AA62">
        <f>IF(AA14="","",AA14)</f>
        <v/>
      </c>
      <c r="AB62">
        <f>IF(AB14="","",AB14)</f>
        <v/>
      </c>
      <c r="AC62">
        <f>IF(AC14="","",AC14)</f>
        <v/>
      </c>
      <c r="AD62">
        <f>IF(AD14="","",AD14)</f>
        <v/>
      </c>
      <c r="AE62">
        <f>IF(AE14="","",AE14)</f>
        <v/>
      </c>
      <c r="AF62">
        <f>IF(AF14="","",AF14)</f>
        <v/>
      </c>
      <c r="AG62">
        <f>IF(AG14="","",AG14)</f>
        <v/>
      </c>
      <c r="AH62">
        <f>IF(AH14="","",AH14)</f>
        <v/>
      </c>
      <c r="AI62">
        <f>IF(AI14="","",AI14)</f>
        <v/>
      </c>
      <c r="AJ62">
        <f>IF(AJ14="","",AJ14)</f>
        <v/>
      </c>
      <c r="AK62">
        <f>IF(AK14="","",AK14)</f>
        <v/>
      </c>
      <c r="AL62">
        <f>IF(AL14="","",AL14)</f>
        <v/>
      </c>
      <c r="AM62">
        <f>IF(AM14="","",AM14)</f>
        <v/>
      </c>
      <c r="AN62">
        <f>IF(AN14="","",AN14)</f>
        <v/>
      </c>
      <c r="AO62">
        <f>IF(AO14="","",AO14)</f>
        <v/>
      </c>
      <c r="AP62">
        <f>IF(AP14="","",AP14)</f>
        <v/>
      </c>
      <c r="AQ62">
        <f>IF(AQ14="","",AQ14)</f>
        <v/>
      </c>
      <c r="AR62">
        <f>IF(AR14="","",AR14)</f>
        <v/>
      </c>
      <c r="AS62">
        <f>IF(AS14="","",AS14)</f>
        <v/>
      </c>
      <c r="AT62">
        <f>IF(AT14="","",AT14)</f>
        <v/>
      </c>
      <c r="AU62">
        <f>IF(AU14="","",AU14)</f>
        <v/>
      </c>
      <c r="AV62">
        <f>IF(AV14="","",AV14)</f>
        <v/>
      </c>
      <c r="AW62">
        <f>IF(AW14="","",AW14)</f>
        <v/>
      </c>
      <c r="AX62">
        <f>IF(AX14="","",AX14)</f>
        <v/>
      </c>
      <c r="AY62">
        <f>IF(AY14="","",AY14)</f>
        <v/>
      </c>
      <c r="AZ62">
        <f>IF(AZ14="","",AZ14)</f>
        <v/>
      </c>
      <c r="BA62">
        <f>IF(BA14="","",BA14)</f>
        <v/>
      </c>
      <c r="BB62">
        <f>IF(BB14="","",BB14)</f>
        <v/>
      </c>
    </row>
    <row r="63">
      <c r="A63" s="16" t="inlineStr">
        <is>
          <t>Q17_3</t>
        </is>
      </c>
      <c r="B63" s="16" t="inlineStr">
        <is>
          <t>노사협력 프로그램</t>
        </is>
      </c>
      <c r="C63" s="46">
        <f>가중치!$F$16</f>
        <v/>
      </c>
      <c r="E63">
        <f>IF(E16="","",E16)</f>
        <v/>
      </c>
      <c r="F63">
        <f>IF(F16="","",F16)</f>
        <v/>
      </c>
      <c r="G63">
        <f>IF(G16="","",G16)</f>
        <v/>
      </c>
      <c r="H63">
        <f>IF(H16="","",H16)</f>
        <v/>
      </c>
      <c r="I63">
        <f>IF(I16="","",I16)</f>
        <v/>
      </c>
      <c r="J63">
        <f>IF(J16="","",J16)</f>
        <v/>
      </c>
      <c r="K63">
        <f>IF(K16="","",K16)</f>
        <v/>
      </c>
      <c r="L63">
        <f>IF(L16="","",L16)</f>
        <v/>
      </c>
      <c r="M63">
        <f>IF(M16="","",M16)</f>
        <v/>
      </c>
      <c r="N63">
        <f>IF(N16="","",N16)</f>
        <v/>
      </c>
      <c r="O63">
        <f>IF(O16="","",O16)</f>
        <v/>
      </c>
      <c r="P63">
        <f>IF(P16="","",P16)</f>
        <v/>
      </c>
      <c r="Q63">
        <f>IF(Q16="","",Q16)</f>
        <v/>
      </c>
      <c r="R63">
        <f>IF(R16="","",R16)</f>
        <v/>
      </c>
      <c r="S63">
        <f>IF(S16="","",S16)</f>
        <v/>
      </c>
      <c r="T63">
        <f>IF(T16="","",T16)</f>
        <v/>
      </c>
      <c r="U63">
        <f>IF(U16="","",U16)</f>
        <v/>
      </c>
      <c r="V63">
        <f>IF(V16="","",V16)</f>
        <v/>
      </c>
      <c r="W63">
        <f>IF(W16="","",W16)</f>
        <v/>
      </c>
      <c r="X63">
        <f>IF(X16="","",X16)</f>
        <v/>
      </c>
      <c r="Y63">
        <f>IF(Y16="","",Y16)</f>
        <v/>
      </c>
      <c r="Z63">
        <f>IF(Z16="","",Z16)</f>
        <v/>
      </c>
      <c r="AA63">
        <f>IF(AA16="","",AA16)</f>
        <v/>
      </c>
      <c r="AB63">
        <f>IF(AB16="","",AB16)</f>
        <v/>
      </c>
      <c r="AC63">
        <f>IF(AC16="","",AC16)</f>
        <v/>
      </c>
      <c r="AD63">
        <f>IF(AD16="","",AD16)</f>
        <v/>
      </c>
      <c r="AE63">
        <f>IF(AE16="","",AE16)</f>
        <v/>
      </c>
      <c r="AF63">
        <f>IF(AF16="","",AF16)</f>
        <v/>
      </c>
      <c r="AG63">
        <f>IF(AG16="","",AG16)</f>
        <v/>
      </c>
      <c r="AH63">
        <f>IF(AH16="","",AH16)</f>
        <v/>
      </c>
      <c r="AI63">
        <f>IF(AI16="","",AI16)</f>
        <v/>
      </c>
      <c r="AJ63">
        <f>IF(AJ16="","",AJ16)</f>
        <v/>
      </c>
      <c r="AK63">
        <f>IF(AK16="","",AK16)</f>
        <v/>
      </c>
      <c r="AL63">
        <f>IF(AL16="","",AL16)</f>
        <v/>
      </c>
      <c r="AM63">
        <f>IF(AM16="","",AM16)</f>
        <v/>
      </c>
      <c r="AN63">
        <f>IF(AN16="","",AN16)</f>
        <v/>
      </c>
      <c r="AO63">
        <f>IF(AO16="","",AO16)</f>
        <v/>
      </c>
      <c r="AP63">
        <f>IF(AP16="","",AP16)</f>
        <v/>
      </c>
      <c r="AQ63">
        <f>IF(AQ16="","",AQ16)</f>
        <v/>
      </c>
      <c r="AR63">
        <f>IF(AR16="","",AR16)</f>
        <v/>
      </c>
      <c r="AS63">
        <f>IF(AS16="","",AS16)</f>
        <v/>
      </c>
      <c r="AT63">
        <f>IF(AT16="","",AT16)</f>
        <v/>
      </c>
      <c r="AU63">
        <f>IF(AU16="","",AU16)</f>
        <v/>
      </c>
      <c r="AV63">
        <f>IF(AV16="","",AV16)</f>
        <v/>
      </c>
      <c r="AW63">
        <f>IF(AW16="","",AW16)</f>
        <v/>
      </c>
      <c r="AX63">
        <f>IF(AX16="","",AX16)</f>
        <v/>
      </c>
      <c r="AY63">
        <f>IF(AY16="","",AY16)</f>
        <v/>
      </c>
      <c r="AZ63">
        <f>IF(AZ16="","",AZ16)</f>
        <v/>
      </c>
      <c r="BA63">
        <f>IF(BA16="","",BA16)</f>
        <v/>
      </c>
      <c r="BB63">
        <f>IF(BB16="","",BB16)</f>
        <v/>
      </c>
    </row>
    <row r="64">
      <c r="A64" s="16" t="inlineStr">
        <is>
          <t>Q17_4</t>
        </is>
      </c>
      <c r="B64" s="16" t="inlineStr">
        <is>
          <t>노사협력 프로그램</t>
        </is>
      </c>
      <c r="C64" s="46">
        <f>가중치!$F$17</f>
        <v/>
      </c>
      <c r="E64">
        <f>IF(E18="","",E18)</f>
        <v/>
      </c>
      <c r="F64">
        <f>IF(F18="","",F18)</f>
        <v/>
      </c>
      <c r="G64">
        <f>IF(G18="","",G18)</f>
        <v/>
      </c>
      <c r="H64">
        <f>IF(H18="","",H18)</f>
        <v/>
      </c>
      <c r="I64">
        <f>IF(I18="","",I18)</f>
        <v/>
      </c>
      <c r="J64">
        <f>IF(J18="","",J18)</f>
        <v/>
      </c>
      <c r="K64">
        <f>IF(K18="","",K18)</f>
        <v/>
      </c>
      <c r="L64">
        <f>IF(L18="","",L18)</f>
        <v/>
      </c>
      <c r="M64">
        <f>IF(M18="","",M18)</f>
        <v/>
      </c>
      <c r="N64">
        <f>IF(N18="","",N18)</f>
        <v/>
      </c>
      <c r="O64">
        <f>IF(O18="","",O18)</f>
        <v/>
      </c>
      <c r="P64">
        <f>IF(P18="","",P18)</f>
        <v/>
      </c>
      <c r="Q64">
        <f>IF(Q18="","",Q18)</f>
        <v/>
      </c>
      <c r="R64">
        <f>IF(R18="","",R18)</f>
        <v/>
      </c>
      <c r="S64">
        <f>IF(S18="","",S18)</f>
        <v/>
      </c>
      <c r="T64">
        <f>IF(T18="","",T18)</f>
        <v/>
      </c>
      <c r="U64">
        <f>IF(U18="","",U18)</f>
        <v/>
      </c>
      <c r="V64">
        <f>IF(V18="","",V18)</f>
        <v/>
      </c>
      <c r="W64">
        <f>IF(W18="","",W18)</f>
        <v/>
      </c>
      <c r="X64">
        <f>IF(X18="","",X18)</f>
        <v/>
      </c>
      <c r="Y64">
        <f>IF(Y18="","",Y18)</f>
        <v/>
      </c>
      <c r="Z64">
        <f>IF(Z18="","",Z18)</f>
        <v/>
      </c>
      <c r="AA64">
        <f>IF(AA18="","",AA18)</f>
        <v/>
      </c>
      <c r="AB64">
        <f>IF(AB18="","",AB18)</f>
        <v/>
      </c>
      <c r="AC64">
        <f>IF(AC18="","",AC18)</f>
        <v/>
      </c>
      <c r="AD64">
        <f>IF(AD18="","",AD18)</f>
        <v/>
      </c>
      <c r="AE64">
        <f>IF(AE18="","",AE18)</f>
        <v/>
      </c>
      <c r="AF64">
        <f>IF(AF18="","",AF18)</f>
        <v/>
      </c>
      <c r="AG64">
        <f>IF(AG18="","",AG18)</f>
        <v/>
      </c>
      <c r="AH64">
        <f>IF(AH18="","",AH18)</f>
        <v/>
      </c>
      <c r="AI64">
        <f>IF(AI18="","",AI18)</f>
        <v/>
      </c>
      <c r="AJ64">
        <f>IF(AJ18="","",AJ18)</f>
        <v/>
      </c>
      <c r="AK64">
        <f>IF(AK18="","",AK18)</f>
        <v/>
      </c>
      <c r="AL64">
        <f>IF(AL18="","",AL18)</f>
        <v/>
      </c>
      <c r="AM64">
        <f>IF(AM18="","",AM18)</f>
        <v/>
      </c>
      <c r="AN64">
        <f>IF(AN18="","",AN18)</f>
        <v/>
      </c>
      <c r="AO64">
        <f>IF(AO18="","",AO18)</f>
        <v/>
      </c>
      <c r="AP64">
        <f>IF(AP18="","",AP18)</f>
        <v/>
      </c>
      <c r="AQ64">
        <f>IF(AQ18="","",AQ18)</f>
        <v/>
      </c>
      <c r="AR64">
        <f>IF(AR18="","",AR18)</f>
        <v/>
      </c>
      <c r="AS64">
        <f>IF(AS18="","",AS18)</f>
        <v/>
      </c>
      <c r="AT64">
        <f>IF(AT18="","",AT18)</f>
        <v/>
      </c>
      <c r="AU64">
        <f>IF(AU18="","",AU18)</f>
        <v/>
      </c>
      <c r="AV64">
        <f>IF(AV18="","",AV18)</f>
        <v/>
      </c>
      <c r="AW64">
        <f>IF(AW18="","",AW18)</f>
        <v/>
      </c>
      <c r="AX64">
        <f>IF(AX18="","",AX18)</f>
        <v/>
      </c>
      <c r="AY64">
        <f>IF(AY18="","",AY18)</f>
        <v/>
      </c>
      <c r="AZ64">
        <f>IF(AZ18="","",AZ18)</f>
        <v/>
      </c>
      <c r="BA64">
        <f>IF(BA18="","",BA18)</f>
        <v/>
      </c>
      <c r="BB64">
        <f>IF(BB18="","",BB18)</f>
        <v/>
      </c>
    </row>
    <row r="65">
      <c r="A65" s="16" t="inlineStr">
        <is>
          <t>Q17_5</t>
        </is>
      </c>
      <c r="B65" s="16" t="inlineStr">
        <is>
          <t>노사협력 프로그램</t>
        </is>
      </c>
      <c r="C65" s="46">
        <f>가중치!$F$18</f>
        <v/>
      </c>
      <c r="E65">
        <f>IF(E20="","",E20)</f>
        <v/>
      </c>
      <c r="F65">
        <f>IF(F20="","",F20)</f>
        <v/>
      </c>
      <c r="G65">
        <f>IF(G20="","",G20)</f>
        <v/>
      </c>
      <c r="H65">
        <f>IF(H20="","",H20)</f>
        <v/>
      </c>
      <c r="I65">
        <f>IF(I20="","",I20)</f>
        <v/>
      </c>
      <c r="J65">
        <f>IF(J20="","",J20)</f>
        <v/>
      </c>
      <c r="K65">
        <f>IF(K20="","",K20)</f>
        <v/>
      </c>
      <c r="L65">
        <f>IF(L20="","",L20)</f>
        <v/>
      </c>
      <c r="M65">
        <f>IF(M20="","",M20)</f>
        <v/>
      </c>
      <c r="N65">
        <f>IF(N20="","",N20)</f>
        <v/>
      </c>
      <c r="O65">
        <f>IF(O20="","",O20)</f>
        <v/>
      </c>
      <c r="P65">
        <f>IF(P20="","",P20)</f>
        <v/>
      </c>
      <c r="Q65">
        <f>IF(Q20="","",Q20)</f>
        <v/>
      </c>
      <c r="R65">
        <f>IF(R20="","",R20)</f>
        <v/>
      </c>
      <c r="S65">
        <f>IF(S20="","",S20)</f>
        <v/>
      </c>
      <c r="T65">
        <f>IF(T20="","",T20)</f>
        <v/>
      </c>
      <c r="U65">
        <f>IF(U20="","",U20)</f>
        <v/>
      </c>
      <c r="V65">
        <f>IF(V20="","",V20)</f>
        <v/>
      </c>
      <c r="W65">
        <f>IF(W20="","",W20)</f>
        <v/>
      </c>
      <c r="X65">
        <f>IF(X20="","",X20)</f>
        <v/>
      </c>
      <c r="Y65">
        <f>IF(Y20="","",Y20)</f>
        <v/>
      </c>
      <c r="Z65">
        <f>IF(Z20="","",Z20)</f>
        <v/>
      </c>
      <c r="AA65">
        <f>IF(AA20="","",AA20)</f>
        <v/>
      </c>
      <c r="AB65">
        <f>IF(AB20="","",AB20)</f>
        <v/>
      </c>
      <c r="AC65">
        <f>IF(AC20="","",AC20)</f>
        <v/>
      </c>
      <c r="AD65">
        <f>IF(AD20="","",AD20)</f>
        <v/>
      </c>
      <c r="AE65">
        <f>IF(AE20="","",AE20)</f>
        <v/>
      </c>
      <c r="AF65">
        <f>IF(AF20="","",AF20)</f>
        <v/>
      </c>
      <c r="AG65">
        <f>IF(AG20="","",AG20)</f>
        <v/>
      </c>
      <c r="AH65">
        <f>IF(AH20="","",AH20)</f>
        <v/>
      </c>
      <c r="AI65">
        <f>IF(AI20="","",AI20)</f>
        <v/>
      </c>
      <c r="AJ65">
        <f>IF(AJ20="","",AJ20)</f>
        <v/>
      </c>
      <c r="AK65">
        <f>IF(AK20="","",AK20)</f>
        <v/>
      </c>
      <c r="AL65">
        <f>IF(AL20="","",AL20)</f>
        <v/>
      </c>
      <c r="AM65">
        <f>IF(AM20="","",AM20)</f>
        <v/>
      </c>
      <c r="AN65">
        <f>IF(AN20="","",AN20)</f>
        <v/>
      </c>
      <c r="AO65">
        <f>IF(AO20="","",AO20)</f>
        <v/>
      </c>
      <c r="AP65">
        <f>IF(AP20="","",AP20)</f>
        <v/>
      </c>
      <c r="AQ65">
        <f>IF(AQ20="","",AQ20)</f>
        <v/>
      </c>
      <c r="AR65">
        <f>IF(AR20="","",AR20)</f>
        <v/>
      </c>
      <c r="AS65">
        <f>IF(AS20="","",AS20)</f>
        <v/>
      </c>
      <c r="AT65">
        <f>IF(AT20="","",AT20)</f>
        <v/>
      </c>
      <c r="AU65">
        <f>IF(AU20="","",AU20)</f>
        <v/>
      </c>
      <c r="AV65">
        <f>IF(AV20="","",AV20)</f>
        <v/>
      </c>
      <c r="AW65">
        <f>IF(AW20="","",AW20)</f>
        <v/>
      </c>
      <c r="AX65">
        <f>IF(AX20="","",AX20)</f>
        <v/>
      </c>
      <c r="AY65">
        <f>IF(AY20="","",AY20)</f>
        <v/>
      </c>
      <c r="AZ65">
        <f>IF(AZ20="","",AZ20)</f>
        <v/>
      </c>
      <c r="BA65">
        <f>IF(BA20="","",BA20)</f>
        <v/>
      </c>
      <c r="BB65">
        <f>IF(BB20="","",BB20)</f>
        <v/>
      </c>
    </row>
    <row r="66">
      <c r="A66" s="16" t="inlineStr">
        <is>
          <t>Q18_1</t>
        </is>
      </c>
      <c r="B66" s="16" t="inlineStr">
        <is>
          <t>노사갈등(미발생)</t>
        </is>
      </c>
      <c r="C66" s="46">
        <f>가중치!$F$19</f>
        <v/>
      </c>
      <c r="E66">
        <f>IF(E22="","",1-E22)</f>
        <v/>
      </c>
      <c r="F66">
        <f>IF(F22="","",1-F22)</f>
        <v/>
      </c>
      <c r="G66">
        <f>IF(G22="","",1-G22)</f>
        <v/>
      </c>
      <c r="H66">
        <f>IF(H22="","",1-H22)</f>
        <v/>
      </c>
      <c r="I66">
        <f>IF(I22="","",1-I22)</f>
        <v/>
      </c>
      <c r="J66">
        <f>IF(J22="","",1-J22)</f>
        <v/>
      </c>
      <c r="K66">
        <f>IF(K22="","",1-K22)</f>
        <v/>
      </c>
      <c r="L66">
        <f>IF(L22="","",1-L22)</f>
        <v/>
      </c>
      <c r="M66">
        <f>IF(M22="","",1-M22)</f>
        <v/>
      </c>
      <c r="N66">
        <f>IF(N22="","",1-N22)</f>
        <v/>
      </c>
      <c r="O66">
        <f>IF(O22="","",1-O22)</f>
        <v/>
      </c>
      <c r="P66">
        <f>IF(P22="","",1-P22)</f>
        <v/>
      </c>
      <c r="Q66">
        <f>IF(Q22="","",1-Q22)</f>
        <v/>
      </c>
      <c r="R66">
        <f>IF(R22="","",1-R22)</f>
        <v/>
      </c>
      <c r="S66">
        <f>IF(S22="","",1-S22)</f>
        <v/>
      </c>
      <c r="T66">
        <f>IF(T22="","",1-T22)</f>
        <v/>
      </c>
      <c r="U66">
        <f>IF(U22="","",1-U22)</f>
        <v/>
      </c>
      <c r="V66">
        <f>IF(V22="","",1-V22)</f>
        <v/>
      </c>
      <c r="W66">
        <f>IF(W22="","",1-W22)</f>
        <v/>
      </c>
      <c r="X66">
        <f>IF(X22="","",1-X22)</f>
        <v/>
      </c>
      <c r="Y66">
        <f>IF(Y22="","",1-Y22)</f>
        <v/>
      </c>
      <c r="Z66">
        <f>IF(Z22="","",1-Z22)</f>
        <v/>
      </c>
      <c r="AA66">
        <f>IF(AA22="","",1-AA22)</f>
        <v/>
      </c>
      <c r="AB66">
        <f>IF(AB22="","",1-AB22)</f>
        <v/>
      </c>
      <c r="AC66">
        <f>IF(AC22="","",1-AC22)</f>
        <v/>
      </c>
      <c r="AD66">
        <f>IF(AD22="","",1-AD22)</f>
        <v/>
      </c>
      <c r="AE66">
        <f>IF(AE22="","",1-AE22)</f>
        <v/>
      </c>
      <c r="AF66">
        <f>IF(AF22="","",1-AF22)</f>
        <v/>
      </c>
      <c r="AG66">
        <f>IF(AG22="","",1-AG22)</f>
        <v/>
      </c>
      <c r="AH66">
        <f>IF(AH22="","",1-AH22)</f>
        <v/>
      </c>
      <c r="AI66">
        <f>IF(AI22="","",1-AI22)</f>
        <v/>
      </c>
      <c r="AJ66">
        <f>IF(AJ22="","",1-AJ22)</f>
        <v/>
      </c>
      <c r="AK66">
        <f>IF(AK22="","",1-AK22)</f>
        <v/>
      </c>
      <c r="AL66">
        <f>IF(AL22="","",1-AL22)</f>
        <v/>
      </c>
      <c r="AM66">
        <f>IF(AM22="","",1-AM22)</f>
        <v/>
      </c>
      <c r="AN66">
        <f>IF(AN22="","",1-AN22)</f>
        <v/>
      </c>
      <c r="AO66">
        <f>IF(AO22="","",1-AO22)</f>
        <v/>
      </c>
      <c r="AP66">
        <f>IF(AP22="","",1-AP22)</f>
        <v/>
      </c>
      <c r="AQ66">
        <f>IF(AQ22="","",1-AQ22)</f>
        <v/>
      </c>
      <c r="AR66">
        <f>IF(AR22="","",1-AR22)</f>
        <v/>
      </c>
      <c r="AS66">
        <f>IF(AS22="","",1-AS22)</f>
        <v/>
      </c>
      <c r="AT66">
        <f>IF(AT22="","",1-AT22)</f>
        <v/>
      </c>
      <c r="AU66">
        <f>IF(AU22="","",1-AU22)</f>
        <v/>
      </c>
      <c r="AV66">
        <f>IF(AV22="","",1-AV22)</f>
        <v/>
      </c>
      <c r="AW66">
        <f>IF(AW22="","",1-AW22)</f>
        <v/>
      </c>
      <c r="AX66">
        <f>IF(AX22="","",1-AX22)</f>
        <v/>
      </c>
      <c r="AY66">
        <f>IF(AY22="","",1-AY22)</f>
        <v/>
      </c>
      <c r="AZ66">
        <f>IF(AZ22="","",1-AZ22)</f>
        <v/>
      </c>
      <c r="BA66">
        <f>IF(BA22="","",1-BA22)</f>
        <v/>
      </c>
      <c r="BB66">
        <f>IF(BB22="","",1-BB22)</f>
        <v/>
      </c>
    </row>
    <row r="67">
      <c r="A67" s="16" t="inlineStr">
        <is>
          <t>Q18_2</t>
        </is>
      </c>
      <c r="B67" s="16" t="inlineStr">
        <is>
          <t>노사갈등(미발생)</t>
        </is>
      </c>
      <c r="C67" s="46">
        <f>가중치!$F$20</f>
        <v/>
      </c>
      <c r="E67">
        <f>IF(E23="","",1-E23)</f>
        <v/>
      </c>
      <c r="F67">
        <f>IF(F23="","",1-F23)</f>
        <v/>
      </c>
      <c r="G67">
        <f>IF(G23="","",1-G23)</f>
        <v/>
      </c>
      <c r="H67">
        <f>IF(H23="","",1-H23)</f>
        <v/>
      </c>
      <c r="I67">
        <f>IF(I23="","",1-I23)</f>
        <v/>
      </c>
      <c r="J67">
        <f>IF(J23="","",1-J23)</f>
        <v/>
      </c>
      <c r="K67">
        <f>IF(K23="","",1-K23)</f>
        <v/>
      </c>
      <c r="L67">
        <f>IF(L23="","",1-L23)</f>
        <v/>
      </c>
      <c r="M67">
        <f>IF(M23="","",1-M23)</f>
        <v/>
      </c>
      <c r="N67">
        <f>IF(N23="","",1-N23)</f>
        <v/>
      </c>
      <c r="O67">
        <f>IF(O23="","",1-O23)</f>
        <v/>
      </c>
      <c r="P67">
        <f>IF(P23="","",1-P23)</f>
        <v/>
      </c>
      <c r="Q67">
        <f>IF(Q23="","",1-Q23)</f>
        <v/>
      </c>
      <c r="R67">
        <f>IF(R23="","",1-R23)</f>
        <v/>
      </c>
      <c r="S67">
        <f>IF(S23="","",1-S23)</f>
        <v/>
      </c>
      <c r="T67">
        <f>IF(T23="","",1-T23)</f>
        <v/>
      </c>
      <c r="U67">
        <f>IF(U23="","",1-U23)</f>
        <v/>
      </c>
      <c r="V67">
        <f>IF(V23="","",1-V23)</f>
        <v/>
      </c>
      <c r="W67">
        <f>IF(W23="","",1-W23)</f>
        <v/>
      </c>
      <c r="X67">
        <f>IF(X23="","",1-X23)</f>
        <v/>
      </c>
      <c r="Y67">
        <f>IF(Y23="","",1-Y23)</f>
        <v/>
      </c>
      <c r="Z67">
        <f>IF(Z23="","",1-Z23)</f>
        <v/>
      </c>
      <c r="AA67">
        <f>IF(AA23="","",1-AA23)</f>
        <v/>
      </c>
      <c r="AB67">
        <f>IF(AB23="","",1-AB23)</f>
        <v/>
      </c>
      <c r="AC67">
        <f>IF(AC23="","",1-AC23)</f>
        <v/>
      </c>
      <c r="AD67">
        <f>IF(AD23="","",1-AD23)</f>
        <v/>
      </c>
      <c r="AE67">
        <f>IF(AE23="","",1-AE23)</f>
        <v/>
      </c>
      <c r="AF67">
        <f>IF(AF23="","",1-AF23)</f>
        <v/>
      </c>
      <c r="AG67">
        <f>IF(AG23="","",1-AG23)</f>
        <v/>
      </c>
      <c r="AH67">
        <f>IF(AH23="","",1-AH23)</f>
        <v/>
      </c>
      <c r="AI67">
        <f>IF(AI23="","",1-AI23)</f>
        <v/>
      </c>
      <c r="AJ67">
        <f>IF(AJ23="","",1-AJ23)</f>
        <v/>
      </c>
      <c r="AK67">
        <f>IF(AK23="","",1-AK23)</f>
        <v/>
      </c>
      <c r="AL67">
        <f>IF(AL23="","",1-AL23)</f>
        <v/>
      </c>
      <c r="AM67">
        <f>IF(AM23="","",1-AM23)</f>
        <v/>
      </c>
      <c r="AN67">
        <f>IF(AN23="","",1-AN23)</f>
        <v/>
      </c>
      <c r="AO67">
        <f>IF(AO23="","",1-AO23)</f>
        <v/>
      </c>
      <c r="AP67">
        <f>IF(AP23="","",1-AP23)</f>
        <v/>
      </c>
      <c r="AQ67">
        <f>IF(AQ23="","",1-AQ23)</f>
        <v/>
      </c>
      <c r="AR67">
        <f>IF(AR23="","",1-AR23)</f>
        <v/>
      </c>
      <c r="AS67">
        <f>IF(AS23="","",1-AS23)</f>
        <v/>
      </c>
      <c r="AT67">
        <f>IF(AT23="","",1-AT23)</f>
        <v/>
      </c>
      <c r="AU67">
        <f>IF(AU23="","",1-AU23)</f>
        <v/>
      </c>
      <c r="AV67">
        <f>IF(AV23="","",1-AV23)</f>
        <v/>
      </c>
      <c r="AW67">
        <f>IF(AW23="","",1-AW23)</f>
        <v/>
      </c>
      <c r="AX67">
        <f>IF(AX23="","",1-AX23)</f>
        <v/>
      </c>
      <c r="AY67">
        <f>IF(AY23="","",1-AY23)</f>
        <v/>
      </c>
      <c r="AZ67">
        <f>IF(AZ23="","",1-AZ23)</f>
        <v/>
      </c>
      <c r="BA67">
        <f>IF(BA23="","",1-BA23)</f>
        <v/>
      </c>
      <c r="BB67">
        <f>IF(BB23="","",1-BB23)</f>
        <v/>
      </c>
    </row>
    <row r="68">
      <c r="A68" s="16" t="inlineStr">
        <is>
          <t>Q18_3</t>
        </is>
      </c>
      <c r="B68" s="16" t="inlineStr">
        <is>
          <t>노사갈등(미발생)</t>
        </is>
      </c>
      <c r="C68" s="46">
        <f>가중치!$F$21</f>
        <v/>
      </c>
      <c r="E68">
        <f>IF(E24="","",1-E24)</f>
        <v/>
      </c>
      <c r="F68">
        <f>IF(F24="","",1-F24)</f>
        <v/>
      </c>
      <c r="G68">
        <f>IF(G24="","",1-G24)</f>
        <v/>
      </c>
      <c r="H68">
        <f>IF(H24="","",1-H24)</f>
        <v/>
      </c>
      <c r="I68">
        <f>IF(I24="","",1-I24)</f>
        <v/>
      </c>
      <c r="J68">
        <f>IF(J24="","",1-J24)</f>
        <v/>
      </c>
      <c r="K68">
        <f>IF(K24="","",1-K24)</f>
        <v/>
      </c>
      <c r="L68">
        <f>IF(L24="","",1-L24)</f>
        <v/>
      </c>
      <c r="M68">
        <f>IF(M24="","",1-M24)</f>
        <v/>
      </c>
      <c r="N68">
        <f>IF(N24="","",1-N24)</f>
        <v/>
      </c>
      <c r="O68">
        <f>IF(O24="","",1-O24)</f>
        <v/>
      </c>
      <c r="P68">
        <f>IF(P24="","",1-P24)</f>
        <v/>
      </c>
      <c r="Q68">
        <f>IF(Q24="","",1-Q24)</f>
        <v/>
      </c>
      <c r="R68">
        <f>IF(R24="","",1-R24)</f>
        <v/>
      </c>
      <c r="S68">
        <f>IF(S24="","",1-S24)</f>
        <v/>
      </c>
      <c r="T68">
        <f>IF(T24="","",1-T24)</f>
        <v/>
      </c>
      <c r="U68">
        <f>IF(U24="","",1-U24)</f>
        <v/>
      </c>
      <c r="V68">
        <f>IF(V24="","",1-V24)</f>
        <v/>
      </c>
      <c r="W68">
        <f>IF(W24="","",1-W24)</f>
        <v/>
      </c>
      <c r="X68">
        <f>IF(X24="","",1-X24)</f>
        <v/>
      </c>
      <c r="Y68">
        <f>IF(Y24="","",1-Y24)</f>
        <v/>
      </c>
      <c r="Z68">
        <f>IF(Z24="","",1-Z24)</f>
        <v/>
      </c>
      <c r="AA68">
        <f>IF(AA24="","",1-AA24)</f>
        <v/>
      </c>
      <c r="AB68">
        <f>IF(AB24="","",1-AB24)</f>
        <v/>
      </c>
      <c r="AC68">
        <f>IF(AC24="","",1-AC24)</f>
        <v/>
      </c>
      <c r="AD68">
        <f>IF(AD24="","",1-AD24)</f>
        <v/>
      </c>
      <c r="AE68">
        <f>IF(AE24="","",1-AE24)</f>
        <v/>
      </c>
      <c r="AF68">
        <f>IF(AF24="","",1-AF24)</f>
        <v/>
      </c>
      <c r="AG68">
        <f>IF(AG24="","",1-AG24)</f>
        <v/>
      </c>
      <c r="AH68">
        <f>IF(AH24="","",1-AH24)</f>
        <v/>
      </c>
      <c r="AI68">
        <f>IF(AI24="","",1-AI24)</f>
        <v/>
      </c>
      <c r="AJ68">
        <f>IF(AJ24="","",1-AJ24)</f>
        <v/>
      </c>
      <c r="AK68">
        <f>IF(AK24="","",1-AK24)</f>
        <v/>
      </c>
      <c r="AL68">
        <f>IF(AL24="","",1-AL24)</f>
        <v/>
      </c>
      <c r="AM68">
        <f>IF(AM24="","",1-AM24)</f>
        <v/>
      </c>
      <c r="AN68">
        <f>IF(AN24="","",1-AN24)</f>
        <v/>
      </c>
      <c r="AO68">
        <f>IF(AO24="","",1-AO24)</f>
        <v/>
      </c>
      <c r="AP68">
        <f>IF(AP24="","",1-AP24)</f>
        <v/>
      </c>
      <c r="AQ68">
        <f>IF(AQ24="","",1-AQ24)</f>
        <v/>
      </c>
      <c r="AR68">
        <f>IF(AR24="","",1-AR24)</f>
        <v/>
      </c>
      <c r="AS68">
        <f>IF(AS24="","",1-AS24)</f>
        <v/>
      </c>
      <c r="AT68">
        <f>IF(AT24="","",1-AT24)</f>
        <v/>
      </c>
      <c r="AU68">
        <f>IF(AU24="","",1-AU24)</f>
        <v/>
      </c>
      <c r="AV68">
        <f>IF(AV24="","",1-AV24)</f>
        <v/>
      </c>
      <c r="AW68">
        <f>IF(AW24="","",1-AW24)</f>
        <v/>
      </c>
      <c r="AX68">
        <f>IF(AX24="","",1-AX24)</f>
        <v/>
      </c>
      <c r="AY68">
        <f>IF(AY24="","",1-AY24)</f>
        <v/>
      </c>
      <c r="AZ68">
        <f>IF(AZ24="","",1-AZ24)</f>
        <v/>
      </c>
      <c r="BA68">
        <f>IF(BA24="","",1-BA24)</f>
        <v/>
      </c>
      <c r="BB68">
        <f>IF(BB24="","",1-BB24)</f>
        <v/>
      </c>
    </row>
    <row r="69">
      <c r="A69" s="16" t="inlineStr">
        <is>
          <t>Q18_4</t>
        </is>
      </c>
      <c r="B69" s="16" t="inlineStr">
        <is>
          <t>노사갈등(미발생)</t>
        </is>
      </c>
      <c r="C69" s="46">
        <f>가중치!$F$22</f>
        <v/>
      </c>
      <c r="E69">
        <f>IF(E25="","",1-E25)</f>
        <v/>
      </c>
      <c r="F69">
        <f>IF(F25="","",1-F25)</f>
        <v/>
      </c>
      <c r="G69">
        <f>IF(G25="","",1-G25)</f>
        <v/>
      </c>
      <c r="H69">
        <f>IF(H25="","",1-H25)</f>
        <v/>
      </c>
      <c r="I69">
        <f>IF(I25="","",1-I25)</f>
        <v/>
      </c>
      <c r="J69">
        <f>IF(J25="","",1-J25)</f>
        <v/>
      </c>
      <c r="K69">
        <f>IF(K25="","",1-K25)</f>
        <v/>
      </c>
      <c r="L69">
        <f>IF(L25="","",1-L25)</f>
        <v/>
      </c>
      <c r="M69">
        <f>IF(M25="","",1-M25)</f>
        <v/>
      </c>
      <c r="N69">
        <f>IF(N25="","",1-N25)</f>
        <v/>
      </c>
      <c r="O69">
        <f>IF(O25="","",1-O25)</f>
        <v/>
      </c>
      <c r="P69">
        <f>IF(P25="","",1-P25)</f>
        <v/>
      </c>
      <c r="Q69">
        <f>IF(Q25="","",1-Q25)</f>
        <v/>
      </c>
      <c r="R69">
        <f>IF(R25="","",1-R25)</f>
        <v/>
      </c>
      <c r="S69">
        <f>IF(S25="","",1-S25)</f>
        <v/>
      </c>
      <c r="T69">
        <f>IF(T25="","",1-T25)</f>
        <v/>
      </c>
      <c r="U69">
        <f>IF(U25="","",1-U25)</f>
        <v/>
      </c>
      <c r="V69">
        <f>IF(V25="","",1-V25)</f>
        <v/>
      </c>
      <c r="W69">
        <f>IF(W25="","",1-W25)</f>
        <v/>
      </c>
      <c r="X69">
        <f>IF(X25="","",1-X25)</f>
        <v/>
      </c>
      <c r="Y69">
        <f>IF(Y25="","",1-Y25)</f>
        <v/>
      </c>
      <c r="Z69">
        <f>IF(Z25="","",1-Z25)</f>
        <v/>
      </c>
      <c r="AA69">
        <f>IF(AA25="","",1-AA25)</f>
        <v/>
      </c>
      <c r="AB69">
        <f>IF(AB25="","",1-AB25)</f>
        <v/>
      </c>
      <c r="AC69">
        <f>IF(AC25="","",1-AC25)</f>
        <v/>
      </c>
      <c r="AD69">
        <f>IF(AD25="","",1-AD25)</f>
        <v/>
      </c>
      <c r="AE69">
        <f>IF(AE25="","",1-AE25)</f>
        <v/>
      </c>
      <c r="AF69">
        <f>IF(AF25="","",1-AF25)</f>
        <v/>
      </c>
      <c r="AG69">
        <f>IF(AG25="","",1-AG25)</f>
        <v/>
      </c>
      <c r="AH69">
        <f>IF(AH25="","",1-AH25)</f>
        <v/>
      </c>
      <c r="AI69">
        <f>IF(AI25="","",1-AI25)</f>
        <v/>
      </c>
      <c r="AJ69">
        <f>IF(AJ25="","",1-AJ25)</f>
        <v/>
      </c>
      <c r="AK69">
        <f>IF(AK25="","",1-AK25)</f>
        <v/>
      </c>
      <c r="AL69">
        <f>IF(AL25="","",1-AL25)</f>
        <v/>
      </c>
      <c r="AM69">
        <f>IF(AM25="","",1-AM25)</f>
        <v/>
      </c>
      <c r="AN69">
        <f>IF(AN25="","",1-AN25)</f>
        <v/>
      </c>
      <c r="AO69">
        <f>IF(AO25="","",1-AO25)</f>
        <v/>
      </c>
      <c r="AP69">
        <f>IF(AP25="","",1-AP25)</f>
        <v/>
      </c>
      <c r="AQ69">
        <f>IF(AQ25="","",1-AQ25)</f>
        <v/>
      </c>
      <c r="AR69">
        <f>IF(AR25="","",1-AR25)</f>
        <v/>
      </c>
      <c r="AS69">
        <f>IF(AS25="","",1-AS25)</f>
        <v/>
      </c>
      <c r="AT69">
        <f>IF(AT25="","",1-AT25)</f>
        <v/>
      </c>
      <c r="AU69">
        <f>IF(AU25="","",1-AU25)</f>
        <v/>
      </c>
      <c r="AV69">
        <f>IF(AV25="","",1-AV25)</f>
        <v/>
      </c>
      <c r="AW69">
        <f>IF(AW25="","",1-AW25)</f>
        <v/>
      </c>
      <c r="AX69">
        <f>IF(AX25="","",1-AX25)</f>
        <v/>
      </c>
      <c r="AY69">
        <f>IF(AY25="","",1-AY25)</f>
        <v/>
      </c>
      <c r="AZ69">
        <f>IF(AZ25="","",1-AZ25)</f>
        <v/>
      </c>
      <c r="BA69">
        <f>IF(BA25="","",1-BA25)</f>
        <v/>
      </c>
      <c r="BB69">
        <f>IF(BB25="","",1-BB25)</f>
        <v/>
      </c>
    </row>
    <row r="70">
      <c r="A70" s="16" t="inlineStr">
        <is>
          <t>Q21_1</t>
        </is>
      </c>
      <c r="B70" s="16" t="inlineStr">
        <is>
          <t>정보공유·의사소통</t>
        </is>
      </c>
      <c r="C70" s="46">
        <f>가중치!$F$23</f>
        <v/>
      </c>
      <c r="E70">
        <f>IF(E31="","",(E31-1)/4)</f>
        <v/>
      </c>
      <c r="F70">
        <f>IF(F31="","",(F31-1)/4)</f>
        <v/>
      </c>
      <c r="G70">
        <f>IF(G31="","",(G31-1)/4)</f>
        <v/>
      </c>
      <c r="H70">
        <f>IF(H31="","",(H31-1)/4)</f>
        <v/>
      </c>
      <c r="I70">
        <f>IF(I31="","",(I31-1)/4)</f>
        <v/>
      </c>
      <c r="J70">
        <f>IF(J31="","",(J31-1)/4)</f>
        <v/>
      </c>
      <c r="K70">
        <f>IF(K31="","",(K31-1)/4)</f>
        <v/>
      </c>
      <c r="L70">
        <f>IF(L31="","",(L31-1)/4)</f>
        <v/>
      </c>
      <c r="M70">
        <f>IF(M31="","",(M31-1)/4)</f>
        <v/>
      </c>
      <c r="N70">
        <f>IF(N31="","",(N31-1)/4)</f>
        <v/>
      </c>
      <c r="O70">
        <f>IF(O31="","",(O31-1)/4)</f>
        <v/>
      </c>
      <c r="P70">
        <f>IF(P31="","",(P31-1)/4)</f>
        <v/>
      </c>
      <c r="Q70">
        <f>IF(Q31="","",(Q31-1)/4)</f>
        <v/>
      </c>
      <c r="R70">
        <f>IF(R31="","",(R31-1)/4)</f>
        <v/>
      </c>
      <c r="S70">
        <f>IF(S31="","",(S31-1)/4)</f>
        <v/>
      </c>
      <c r="T70">
        <f>IF(T31="","",(T31-1)/4)</f>
        <v/>
      </c>
      <c r="U70">
        <f>IF(U31="","",(U31-1)/4)</f>
        <v/>
      </c>
      <c r="V70">
        <f>IF(V31="","",(V31-1)/4)</f>
        <v/>
      </c>
      <c r="W70">
        <f>IF(W31="","",(W31-1)/4)</f>
        <v/>
      </c>
      <c r="X70">
        <f>IF(X31="","",(X31-1)/4)</f>
        <v/>
      </c>
      <c r="Y70">
        <f>IF(Y31="","",(Y31-1)/4)</f>
        <v/>
      </c>
      <c r="Z70">
        <f>IF(Z31="","",(Z31-1)/4)</f>
        <v/>
      </c>
      <c r="AA70">
        <f>IF(AA31="","",(AA31-1)/4)</f>
        <v/>
      </c>
      <c r="AB70">
        <f>IF(AB31="","",(AB31-1)/4)</f>
        <v/>
      </c>
      <c r="AC70">
        <f>IF(AC31="","",(AC31-1)/4)</f>
        <v/>
      </c>
      <c r="AD70">
        <f>IF(AD31="","",(AD31-1)/4)</f>
        <v/>
      </c>
      <c r="AE70">
        <f>IF(AE31="","",(AE31-1)/4)</f>
        <v/>
      </c>
      <c r="AF70">
        <f>IF(AF31="","",(AF31-1)/4)</f>
        <v/>
      </c>
      <c r="AG70">
        <f>IF(AG31="","",(AG31-1)/4)</f>
        <v/>
      </c>
      <c r="AH70">
        <f>IF(AH31="","",(AH31-1)/4)</f>
        <v/>
      </c>
      <c r="AI70">
        <f>IF(AI31="","",(AI31-1)/4)</f>
        <v/>
      </c>
      <c r="AJ70">
        <f>IF(AJ31="","",(AJ31-1)/4)</f>
        <v/>
      </c>
      <c r="AK70">
        <f>IF(AK31="","",(AK31-1)/4)</f>
        <v/>
      </c>
      <c r="AL70">
        <f>IF(AL31="","",(AL31-1)/4)</f>
        <v/>
      </c>
      <c r="AM70">
        <f>IF(AM31="","",(AM31-1)/4)</f>
        <v/>
      </c>
      <c r="AN70">
        <f>IF(AN31="","",(AN31-1)/4)</f>
        <v/>
      </c>
      <c r="AO70">
        <f>IF(AO31="","",(AO31-1)/4)</f>
        <v/>
      </c>
      <c r="AP70">
        <f>IF(AP31="","",(AP31-1)/4)</f>
        <v/>
      </c>
      <c r="AQ70">
        <f>IF(AQ31="","",(AQ31-1)/4)</f>
        <v/>
      </c>
      <c r="AR70">
        <f>IF(AR31="","",(AR31-1)/4)</f>
        <v/>
      </c>
      <c r="AS70">
        <f>IF(AS31="","",(AS31-1)/4)</f>
        <v/>
      </c>
      <c r="AT70">
        <f>IF(AT31="","",(AT31-1)/4)</f>
        <v/>
      </c>
      <c r="AU70">
        <f>IF(AU31="","",(AU31-1)/4)</f>
        <v/>
      </c>
      <c r="AV70">
        <f>IF(AV31="","",(AV31-1)/4)</f>
        <v/>
      </c>
      <c r="AW70">
        <f>IF(AW31="","",(AW31-1)/4)</f>
        <v/>
      </c>
      <c r="AX70">
        <f>IF(AX31="","",(AX31-1)/4)</f>
        <v/>
      </c>
      <c r="AY70">
        <f>IF(AY31="","",(AY31-1)/4)</f>
        <v/>
      </c>
      <c r="AZ70">
        <f>IF(AZ31="","",(AZ31-1)/4)</f>
        <v/>
      </c>
      <c r="BA70">
        <f>IF(BA31="","",(BA31-1)/4)</f>
        <v/>
      </c>
      <c r="BB70">
        <f>IF(BB31="","",(BB31-1)/4)</f>
        <v/>
      </c>
    </row>
    <row r="71">
      <c r="A71" s="16" t="inlineStr">
        <is>
          <t>Q21_2</t>
        </is>
      </c>
      <c r="B71" s="16" t="inlineStr">
        <is>
          <t>정보공유·의사소통</t>
        </is>
      </c>
      <c r="C71" s="46">
        <f>가중치!$F$24</f>
        <v/>
      </c>
      <c r="E71">
        <f>IF(E32="","",(E32-1)/4)</f>
        <v/>
      </c>
      <c r="F71">
        <f>IF(F32="","",(F32-1)/4)</f>
        <v/>
      </c>
      <c r="G71">
        <f>IF(G32="","",(G32-1)/4)</f>
        <v/>
      </c>
      <c r="H71">
        <f>IF(H32="","",(H32-1)/4)</f>
        <v/>
      </c>
      <c r="I71">
        <f>IF(I32="","",(I32-1)/4)</f>
        <v/>
      </c>
      <c r="J71">
        <f>IF(J32="","",(J32-1)/4)</f>
        <v/>
      </c>
      <c r="K71">
        <f>IF(K32="","",(K32-1)/4)</f>
        <v/>
      </c>
      <c r="L71">
        <f>IF(L32="","",(L32-1)/4)</f>
        <v/>
      </c>
      <c r="M71">
        <f>IF(M32="","",(M32-1)/4)</f>
        <v/>
      </c>
      <c r="N71">
        <f>IF(N32="","",(N32-1)/4)</f>
        <v/>
      </c>
      <c r="O71">
        <f>IF(O32="","",(O32-1)/4)</f>
        <v/>
      </c>
      <c r="P71">
        <f>IF(P32="","",(P32-1)/4)</f>
        <v/>
      </c>
      <c r="Q71">
        <f>IF(Q32="","",(Q32-1)/4)</f>
        <v/>
      </c>
      <c r="R71">
        <f>IF(R32="","",(R32-1)/4)</f>
        <v/>
      </c>
      <c r="S71">
        <f>IF(S32="","",(S32-1)/4)</f>
        <v/>
      </c>
      <c r="T71">
        <f>IF(T32="","",(T32-1)/4)</f>
        <v/>
      </c>
      <c r="U71">
        <f>IF(U32="","",(U32-1)/4)</f>
        <v/>
      </c>
      <c r="V71">
        <f>IF(V32="","",(V32-1)/4)</f>
        <v/>
      </c>
      <c r="W71">
        <f>IF(W32="","",(W32-1)/4)</f>
        <v/>
      </c>
      <c r="X71">
        <f>IF(X32="","",(X32-1)/4)</f>
        <v/>
      </c>
      <c r="Y71">
        <f>IF(Y32="","",(Y32-1)/4)</f>
        <v/>
      </c>
      <c r="Z71">
        <f>IF(Z32="","",(Z32-1)/4)</f>
        <v/>
      </c>
      <c r="AA71">
        <f>IF(AA32="","",(AA32-1)/4)</f>
        <v/>
      </c>
      <c r="AB71">
        <f>IF(AB32="","",(AB32-1)/4)</f>
        <v/>
      </c>
      <c r="AC71">
        <f>IF(AC32="","",(AC32-1)/4)</f>
        <v/>
      </c>
      <c r="AD71">
        <f>IF(AD32="","",(AD32-1)/4)</f>
        <v/>
      </c>
      <c r="AE71">
        <f>IF(AE32="","",(AE32-1)/4)</f>
        <v/>
      </c>
      <c r="AF71">
        <f>IF(AF32="","",(AF32-1)/4)</f>
        <v/>
      </c>
      <c r="AG71">
        <f>IF(AG32="","",(AG32-1)/4)</f>
        <v/>
      </c>
      <c r="AH71">
        <f>IF(AH32="","",(AH32-1)/4)</f>
        <v/>
      </c>
      <c r="AI71">
        <f>IF(AI32="","",(AI32-1)/4)</f>
        <v/>
      </c>
      <c r="AJ71">
        <f>IF(AJ32="","",(AJ32-1)/4)</f>
        <v/>
      </c>
      <c r="AK71">
        <f>IF(AK32="","",(AK32-1)/4)</f>
        <v/>
      </c>
      <c r="AL71">
        <f>IF(AL32="","",(AL32-1)/4)</f>
        <v/>
      </c>
      <c r="AM71">
        <f>IF(AM32="","",(AM32-1)/4)</f>
        <v/>
      </c>
      <c r="AN71">
        <f>IF(AN32="","",(AN32-1)/4)</f>
        <v/>
      </c>
      <c r="AO71">
        <f>IF(AO32="","",(AO32-1)/4)</f>
        <v/>
      </c>
      <c r="AP71">
        <f>IF(AP32="","",(AP32-1)/4)</f>
        <v/>
      </c>
      <c r="AQ71">
        <f>IF(AQ32="","",(AQ32-1)/4)</f>
        <v/>
      </c>
      <c r="AR71">
        <f>IF(AR32="","",(AR32-1)/4)</f>
        <v/>
      </c>
      <c r="AS71">
        <f>IF(AS32="","",(AS32-1)/4)</f>
        <v/>
      </c>
      <c r="AT71">
        <f>IF(AT32="","",(AT32-1)/4)</f>
        <v/>
      </c>
      <c r="AU71">
        <f>IF(AU32="","",(AU32-1)/4)</f>
        <v/>
      </c>
      <c r="AV71">
        <f>IF(AV32="","",(AV32-1)/4)</f>
        <v/>
      </c>
      <c r="AW71">
        <f>IF(AW32="","",(AW32-1)/4)</f>
        <v/>
      </c>
      <c r="AX71">
        <f>IF(AX32="","",(AX32-1)/4)</f>
        <v/>
      </c>
      <c r="AY71">
        <f>IF(AY32="","",(AY32-1)/4)</f>
        <v/>
      </c>
      <c r="AZ71">
        <f>IF(AZ32="","",(AZ32-1)/4)</f>
        <v/>
      </c>
      <c r="BA71">
        <f>IF(BA32="","",(BA32-1)/4)</f>
        <v/>
      </c>
      <c r="BB71">
        <f>IF(BB32="","",(BB32-1)/4)</f>
        <v/>
      </c>
    </row>
    <row r="72">
      <c r="A72" s="16" t="inlineStr">
        <is>
          <t>Q21_3</t>
        </is>
      </c>
      <c r="B72" s="16" t="inlineStr">
        <is>
          <t>정보공유·의사소통</t>
        </is>
      </c>
      <c r="C72" s="46">
        <f>가중치!$F$25</f>
        <v/>
      </c>
      <c r="E72">
        <f>IF(E33="","",(E33-1)/4)</f>
        <v/>
      </c>
      <c r="F72">
        <f>IF(F33="","",(F33-1)/4)</f>
        <v/>
      </c>
      <c r="G72">
        <f>IF(G33="","",(G33-1)/4)</f>
        <v/>
      </c>
      <c r="H72">
        <f>IF(H33="","",(H33-1)/4)</f>
        <v/>
      </c>
      <c r="I72">
        <f>IF(I33="","",(I33-1)/4)</f>
        <v/>
      </c>
      <c r="J72">
        <f>IF(J33="","",(J33-1)/4)</f>
        <v/>
      </c>
      <c r="K72">
        <f>IF(K33="","",(K33-1)/4)</f>
        <v/>
      </c>
      <c r="L72">
        <f>IF(L33="","",(L33-1)/4)</f>
        <v/>
      </c>
      <c r="M72">
        <f>IF(M33="","",(M33-1)/4)</f>
        <v/>
      </c>
      <c r="N72">
        <f>IF(N33="","",(N33-1)/4)</f>
        <v/>
      </c>
      <c r="O72">
        <f>IF(O33="","",(O33-1)/4)</f>
        <v/>
      </c>
      <c r="P72">
        <f>IF(P33="","",(P33-1)/4)</f>
        <v/>
      </c>
      <c r="Q72">
        <f>IF(Q33="","",(Q33-1)/4)</f>
        <v/>
      </c>
      <c r="R72">
        <f>IF(R33="","",(R33-1)/4)</f>
        <v/>
      </c>
      <c r="S72">
        <f>IF(S33="","",(S33-1)/4)</f>
        <v/>
      </c>
      <c r="T72">
        <f>IF(T33="","",(T33-1)/4)</f>
        <v/>
      </c>
      <c r="U72">
        <f>IF(U33="","",(U33-1)/4)</f>
        <v/>
      </c>
      <c r="V72">
        <f>IF(V33="","",(V33-1)/4)</f>
        <v/>
      </c>
      <c r="W72">
        <f>IF(W33="","",(W33-1)/4)</f>
        <v/>
      </c>
      <c r="X72">
        <f>IF(X33="","",(X33-1)/4)</f>
        <v/>
      </c>
      <c r="Y72">
        <f>IF(Y33="","",(Y33-1)/4)</f>
        <v/>
      </c>
      <c r="Z72">
        <f>IF(Z33="","",(Z33-1)/4)</f>
        <v/>
      </c>
      <c r="AA72">
        <f>IF(AA33="","",(AA33-1)/4)</f>
        <v/>
      </c>
      <c r="AB72">
        <f>IF(AB33="","",(AB33-1)/4)</f>
        <v/>
      </c>
      <c r="AC72">
        <f>IF(AC33="","",(AC33-1)/4)</f>
        <v/>
      </c>
      <c r="AD72">
        <f>IF(AD33="","",(AD33-1)/4)</f>
        <v/>
      </c>
      <c r="AE72">
        <f>IF(AE33="","",(AE33-1)/4)</f>
        <v/>
      </c>
      <c r="AF72">
        <f>IF(AF33="","",(AF33-1)/4)</f>
        <v/>
      </c>
      <c r="AG72">
        <f>IF(AG33="","",(AG33-1)/4)</f>
        <v/>
      </c>
      <c r="AH72">
        <f>IF(AH33="","",(AH33-1)/4)</f>
        <v/>
      </c>
      <c r="AI72">
        <f>IF(AI33="","",(AI33-1)/4)</f>
        <v/>
      </c>
      <c r="AJ72">
        <f>IF(AJ33="","",(AJ33-1)/4)</f>
        <v/>
      </c>
      <c r="AK72">
        <f>IF(AK33="","",(AK33-1)/4)</f>
        <v/>
      </c>
      <c r="AL72">
        <f>IF(AL33="","",(AL33-1)/4)</f>
        <v/>
      </c>
      <c r="AM72">
        <f>IF(AM33="","",(AM33-1)/4)</f>
        <v/>
      </c>
      <c r="AN72">
        <f>IF(AN33="","",(AN33-1)/4)</f>
        <v/>
      </c>
      <c r="AO72">
        <f>IF(AO33="","",(AO33-1)/4)</f>
        <v/>
      </c>
      <c r="AP72">
        <f>IF(AP33="","",(AP33-1)/4)</f>
        <v/>
      </c>
      <c r="AQ72">
        <f>IF(AQ33="","",(AQ33-1)/4)</f>
        <v/>
      </c>
      <c r="AR72">
        <f>IF(AR33="","",(AR33-1)/4)</f>
        <v/>
      </c>
      <c r="AS72">
        <f>IF(AS33="","",(AS33-1)/4)</f>
        <v/>
      </c>
      <c r="AT72">
        <f>IF(AT33="","",(AT33-1)/4)</f>
        <v/>
      </c>
      <c r="AU72">
        <f>IF(AU33="","",(AU33-1)/4)</f>
        <v/>
      </c>
      <c r="AV72">
        <f>IF(AV33="","",(AV33-1)/4)</f>
        <v/>
      </c>
      <c r="AW72">
        <f>IF(AW33="","",(AW33-1)/4)</f>
        <v/>
      </c>
      <c r="AX72">
        <f>IF(AX33="","",(AX33-1)/4)</f>
        <v/>
      </c>
      <c r="AY72">
        <f>IF(AY33="","",(AY33-1)/4)</f>
        <v/>
      </c>
      <c r="AZ72">
        <f>IF(AZ33="","",(AZ33-1)/4)</f>
        <v/>
      </c>
      <c r="BA72">
        <f>IF(BA33="","",(BA33-1)/4)</f>
        <v/>
      </c>
      <c r="BB72">
        <f>IF(BB33="","",(BB33-1)/4)</f>
        <v/>
      </c>
    </row>
    <row r="73">
      <c r="A73" s="16" t="inlineStr">
        <is>
          <t>Q21_4</t>
        </is>
      </c>
      <c r="B73" s="16" t="inlineStr">
        <is>
          <t>정보공유·의사소통</t>
        </is>
      </c>
      <c r="C73" s="46">
        <f>가중치!$F$26</f>
        <v/>
      </c>
      <c r="E73">
        <f>IF(E34="","",(E34-1)/4)</f>
        <v/>
      </c>
      <c r="F73">
        <f>IF(F34="","",(F34-1)/4)</f>
        <v/>
      </c>
      <c r="G73">
        <f>IF(G34="","",(G34-1)/4)</f>
        <v/>
      </c>
      <c r="H73">
        <f>IF(H34="","",(H34-1)/4)</f>
        <v/>
      </c>
      <c r="I73">
        <f>IF(I34="","",(I34-1)/4)</f>
        <v/>
      </c>
      <c r="J73">
        <f>IF(J34="","",(J34-1)/4)</f>
        <v/>
      </c>
      <c r="K73">
        <f>IF(K34="","",(K34-1)/4)</f>
        <v/>
      </c>
      <c r="L73">
        <f>IF(L34="","",(L34-1)/4)</f>
        <v/>
      </c>
      <c r="M73">
        <f>IF(M34="","",(M34-1)/4)</f>
        <v/>
      </c>
      <c r="N73">
        <f>IF(N34="","",(N34-1)/4)</f>
        <v/>
      </c>
      <c r="O73">
        <f>IF(O34="","",(O34-1)/4)</f>
        <v/>
      </c>
      <c r="P73">
        <f>IF(P34="","",(P34-1)/4)</f>
        <v/>
      </c>
      <c r="Q73">
        <f>IF(Q34="","",(Q34-1)/4)</f>
        <v/>
      </c>
      <c r="R73">
        <f>IF(R34="","",(R34-1)/4)</f>
        <v/>
      </c>
      <c r="S73">
        <f>IF(S34="","",(S34-1)/4)</f>
        <v/>
      </c>
      <c r="T73">
        <f>IF(T34="","",(T34-1)/4)</f>
        <v/>
      </c>
      <c r="U73">
        <f>IF(U34="","",(U34-1)/4)</f>
        <v/>
      </c>
      <c r="V73">
        <f>IF(V34="","",(V34-1)/4)</f>
        <v/>
      </c>
      <c r="W73">
        <f>IF(W34="","",(W34-1)/4)</f>
        <v/>
      </c>
      <c r="X73">
        <f>IF(X34="","",(X34-1)/4)</f>
        <v/>
      </c>
      <c r="Y73">
        <f>IF(Y34="","",(Y34-1)/4)</f>
        <v/>
      </c>
      <c r="Z73">
        <f>IF(Z34="","",(Z34-1)/4)</f>
        <v/>
      </c>
      <c r="AA73">
        <f>IF(AA34="","",(AA34-1)/4)</f>
        <v/>
      </c>
      <c r="AB73">
        <f>IF(AB34="","",(AB34-1)/4)</f>
        <v/>
      </c>
      <c r="AC73">
        <f>IF(AC34="","",(AC34-1)/4)</f>
        <v/>
      </c>
      <c r="AD73">
        <f>IF(AD34="","",(AD34-1)/4)</f>
        <v/>
      </c>
      <c r="AE73">
        <f>IF(AE34="","",(AE34-1)/4)</f>
        <v/>
      </c>
      <c r="AF73">
        <f>IF(AF34="","",(AF34-1)/4)</f>
        <v/>
      </c>
      <c r="AG73">
        <f>IF(AG34="","",(AG34-1)/4)</f>
        <v/>
      </c>
      <c r="AH73">
        <f>IF(AH34="","",(AH34-1)/4)</f>
        <v/>
      </c>
      <c r="AI73">
        <f>IF(AI34="","",(AI34-1)/4)</f>
        <v/>
      </c>
      <c r="AJ73">
        <f>IF(AJ34="","",(AJ34-1)/4)</f>
        <v/>
      </c>
      <c r="AK73">
        <f>IF(AK34="","",(AK34-1)/4)</f>
        <v/>
      </c>
      <c r="AL73">
        <f>IF(AL34="","",(AL34-1)/4)</f>
        <v/>
      </c>
      <c r="AM73">
        <f>IF(AM34="","",(AM34-1)/4)</f>
        <v/>
      </c>
      <c r="AN73">
        <f>IF(AN34="","",(AN34-1)/4)</f>
        <v/>
      </c>
      <c r="AO73">
        <f>IF(AO34="","",(AO34-1)/4)</f>
        <v/>
      </c>
      <c r="AP73">
        <f>IF(AP34="","",(AP34-1)/4)</f>
        <v/>
      </c>
      <c r="AQ73">
        <f>IF(AQ34="","",(AQ34-1)/4)</f>
        <v/>
      </c>
      <c r="AR73">
        <f>IF(AR34="","",(AR34-1)/4)</f>
        <v/>
      </c>
      <c r="AS73">
        <f>IF(AS34="","",(AS34-1)/4)</f>
        <v/>
      </c>
      <c r="AT73">
        <f>IF(AT34="","",(AT34-1)/4)</f>
        <v/>
      </c>
      <c r="AU73">
        <f>IF(AU34="","",(AU34-1)/4)</f>
        <v/>
      </c>
      <c r="AV73">
        <f>IF(AV34="","",(AV34-1)/4)</f>
        <v/>
      </c>
      <c r="AW73">
        <f>IF(AW34="","",(AW34-1)/4)</f>
        <v/>
      </c>
      <c r="AX73">
        <f>IF(AX34="","",(AX34-1)/4)</f>
        <v/>
      </c>
      <c r="AY73">
        <f>IF(AY34="","",(AY34-1)/4)</f>
        <v/>
      </c>
      <c r="AZ73">
        <f>IF(AZ34="","",(AZ34-1)/4)</f>
        <v/>
      </c>
      <c r="BA73">
        <f>IF(BA34="","",(BA34-1)/4)</f>
        <v/>
      </c>
      <c r="BB73">
        <f>IF(BB34="","",(BB34-1)/4)</f>
        <v/>
      </c>
    </row>
    <row r="74">
      <c r="A74" s="16" t="inlineStr">
        <is>
          <t>Q21_5</t>
        </is>
      </c>
      <c r="B74" s="16" t="inlineStr">
        <is>
          <t>정보공유·의사소통</t>
        </is>
      </c>
      <c r="C74" s="46">
        <f>가중치!$F$27</f>
        <v/>
      </c>
      <c r="E74">
        <f>IF(E35="","",(E35-1)/4)</f>
        <v/>
      </c>
      <c r="F74">
        <f>IF(F35="","",(F35-1)/4)</f>
        <v/>
      </c>
      <c r="G74">
        <f>IF(G35="","",(G35-1)/4)</f>
        <v/>
      </c>
      <c r="H74">
        <f>IF(H35="","",(H35-1)/4)</f>
        <v/>
      </c>
      <c r="I74">
        <f>IF(I35="","",(I35-1)/4)</f>
        <v/>
      </c>
      <c r="J74">
        <f>IF(J35="","",(J35-1)/4)</f>
        <v/>
      </c>
      <c r="K74">
        <f>IF(K35="","",(K35-1)/4)</f>
        <v/>
      </c>
      <c r="L74">
        <f>IF(L35="","",(L35-1)/4)</f>
        <v/>
      </c>
      <c r="M74">
        <f>IF(M35="","",(M35-1)/4)</f>
        <v/>
      </c>
      <c r="N74">
        <f>IF(N35="","",(N35-1)/4)</f>
        <v/>
      </c>
      <c r="O74">
        <f>IF(O35="","",(O35-1)/4)</f>
        <v/>
      </c>
      <c r="P74">
        <f>IF(P35="","",(P35-1)/4)</f>
        <v/>
      </c>
      <c r="Q74">
        <f>IF(Q35="","",(Q35-1)/4)</f>
        <v/>
      </c>
      <c r="R74">
        <f>IF(R35="","",(R35-1)/4)</f>
        <v/>
      </c>
      <c r="S74">
        <f>IF(S35="","",(S35-1)/4)</f>
        <v/>
      </c>
      <c r="T74">
        <f>IF(T35="","",(T35-1)/4)</f>
        <v/>
      </c>
      <c r="U74">
        <f>IF(U35="","",(U35-1)/4)</f>
        <v/>
      </c>
      <c r="V74">
        <f>IF(V35="","",(V35-1)/4)</f>
        <v/>
      </c>
      <c r="W74">
        <f>IF(W35="","",(W35-1)/4)</f>
        <v/>
      </c>
      <c r="X74">
        <f>IF(X35="","",(X35-1)/4)</f>
        <v/>
      </c>
      <c r="Y74">
        <f>IF(Y35="","",(Y35-1)/4)</f>
        <v/>
      </c>
      <c r="Z74">
        <f>IF(Z35="","",(Z35-1)/4)</f>
        <v/>
      </c>
      <c r="AA74">
        <f>IF(AA35="","",(AA35-1)/4)</f>
        <v/>
      </c>
      <c r="AB74">
        <f>IF(AB35="","",(AB35-1)/4)</f>
        <v/>
      </c>
      <c r="AC74">
        <f>IF(AC35="","",(AC35-1)/4)</f>
        <v/>
      </c>
      <c r="AD74">
        <f>IF(AD35="","",(AD35-1)/4)</f>
        <v/>
      </c>
      <c r="AE74">
        <f>IF(AE35="","",(AE35-1)/4)</f>
        <v/>
      </c>
      <c r="AF74">
        <f>IF(AF35="","",(AF35-1)/4)</f>
        <v/>
      </c>
      <c r="AG74">
        <f>IF(AG35="","",(AG35-1)/4)</f>
        <v/>
      </c>
      <c r="AH74">
        <f>IF(AH35="","",(AH35-1)/4)</f>
        <v/>
      </c>
      <c r="AI74">
        <f>IF(AI35="","",(AI35-1)/4)</f>
        <v/>
      </c>
      <c r="AJ74">
        <f>IF(AJ35="","",(AJ35-1)/4)</f>
        <v/>
      </c>
      <c r="AK74">
        <f>IF(AK35="","",(AK35-1)/4)</f>
        <v/>
      </c>
      <c r="AL74">
        <f>IF(AL35="","",(AL35-1)/4)</f>
        <v/>
      </c>
      <c r="AM74">
        <f>IF(AM35="","",(AM35-1)/4)</f>
        <v/>
      </c>
      <c r="AN74">
        <f>IF(AN35="","",(AN35-1)/4)</f>
        <v/>
      </c>
      <c r="AO74">
        <f>IF(AO35="","",(AO35-1)/4)</f>
        <v/>
      </c>
      <c r="AP74">
        <f>IF(AP35="","",(AP35-1)/4)</f>
        <v/>
      </c>
      <c r="AQ74">
        <f>IF(AQ35="","",(AQ35-1)/4)</f>
        <v/>
      </c>
      <c r="AR74">
        <f>IF(AR35="","",(AR35-1)/4)</f>
        <v/>
      </c>
      <c r="AS74">
        <f>IF(AS35="","",(AS35-1)/4)</f>
        <v/>
      </c>
      <c r="AT74">
        <f>IF(AT35="","",(AT35-1)/4)</f>
        <v/>
      </c>
      <c r="AU74">
        <f>IF(AU35="","",(AU35-1)/4)</f>
        <v/>
      </c>
      <c r="AV74">
        <f>IF(AV35="","",(AV35-1)/4)</f>
        <v/>
      </c>
      <c r="AW74">
        <f>IF(AW35="","",(AW35-1)/4)</f>
        <v/>
      </c>
      <c r="AX74">
        <f>IF(AX35="","",(AX35-1)/4)</f>
        <v/>
      </c>
      <c r="AY74">
        <f>IF(AY35="","",(AY35-1)/4)</f>
        <v/>
      </c>
      <c r="AZ74">
        <f>IF(AZ35="","",(AZ35-1)/4)</f>
        <v/>
      </c>
      <c r="BA74">
        <f>IF(BA35="","",(BA35-1)/4)</f>
        <v/>
      </c>
      <c r="BB74">
        <f>IF(BB35="","",(BB35-1)/4)</f>
        <v/>
      </c>
    </row>
    <row r="75">
      <c r="A75" s="16" t="inlineStr">
        <is>
          <t>Q22_1</t>
        </is>
      </c>
      <c r="B75" s="16" t="inlineStr">
        <is>
          <t>정보공유·의사소통</t>
        </is>
      </c>
      <c r="C75" s="46">
        <f>가중치!$F$28</f>
        <v/>
      </c>
      <c r="E75">
        <f>IF(E36="","",(E36-1)/4)</f>
        <v/>
      </c>
      <c r="F75">
        <f>IF(F36="","",(F36-1)/4)</f>
        <v/>
      </c>
      <c r="G75">
        <f>IF(G36="","",(G36-1)/4)</f>
        <v/>
      </c>
      <c r="H75">
        <f>IF(H36="","",(H36-1)/4)</f>
        <v/>
      </c>
      <c r="I75">
        <f>IF(I36="","",(I36-1)/4)</f>
        <v/>
      </c>
      <c r="J75">
        <f>IF(J36="","",(J36-1)/4)</f>
        <v/>
      </c>
      <c r="K75">
        <f>IF(K36="","",(K36-1)/4)</f>
        <v/>
      </c>
      <c r="L75">
        <f>IF(L36="","",(L36-1)/4)</f>
        <v/>
      </c>
      <c r="M75">
        <f>IF(M36="","",(M36-1)/4)</f>
        <v/>
      </c>
      <c r="N75">
        <f>IF(N36="","",(N36-1)/4)</f>
        <v/>
      </c>
      <c r="O75">
        <f>IF(O36="","",(O36-1)/4)</f>
        <v/>
      </c>
      <c r="P75">
        <f>IF(P36="","",(P36-1)/4)</f>
        <v/>
      </c>
      <c r="Q75">
        <f>IF(Q36="","",(Q36-1)/4)</f>
        <v/>
      </c>
      <c r="R75">
        <f>IF(R36="","",(R36-1)/4)</f>
        <v/>
      </c>
      <c r="S75">
        <f>IF(S36="","",(S36-1)/4)</f>
        <v/>
      </c>
      <c r="T75">
        <f>IF(T36="","",(T36-1)/4)</f>
        <v/>
      </c>
      <c r="U75">
        <f>IF(U36="","",(U36-1)/4)</f>
        <v/>
      </c>
      <c r="V75">
        <f>IF(V36="","",(V36-1)/4)</f>
        <v/>
      </c>
      <c r="W75">
        <f>IF(W36="","",(W36-1)/4)</f>
        <v/>
      </c>
      <c r="X75">
        <f>IF(X36="","",(X36-1)/4)</f>
        <v/>
      </c>
      <c r="Y75">
        <f>IF(Y36="","",(Y36-1)/4)</f>
        <v/>
      </c>
      <c r="Z75">
        <f>IF(Z36="","",(Z36-1)/4)</f>
        <v/>
      </c>
      <c r="AA75">
        <f>IF(AA36="","",(AA36-1)/4)</f>
        <v/>
      </c>
      <c r="AB75">
        <f>IF(AB36="","",(AB36-1)/4)</f>
        <v/>
      </c>
      <c r="AC75">
        <f>IF(AC36="","",(AC36-1)/4)</f>
        <v/>
      </c>
      <c r="AD75">
        <f>IF(AD36="","",(AD36-1)/4)</f>
        <v/>
      </c>
      <c r="AE75">
        <f>IF(AE36="","",(AE36-1)/4)</f>
        <v/>
      </c>
      <c r="AF75">
        <f>IF(AF36="","",(AF36-1)/4)</f>
        <v/>
      </c>
      <c r="AG75">
        <f>IF(AG36="","",(AG36-1)/4)</f>
        <v/>
      </c>
      <c r="AH75">
        <f>IF(AH36="","",(AH36-1)/4)</f>
        <v/>
      </c>
      <c r="AI75">
        <f>IF(AI36="","",(AI36-1)/4)</f>
        <v/>
      </c>
      <c r="AJ75">
        <f>IF(AJ36="","",(AJ36-1)/4)</f>
        <v/>
      </c>
      <c r="AK75">
        <f>IF(AK36="","",(AK36-1)/4)</f>
        <v/>
      </c>
      <c r="AL75">
        <f>IF(AL36="","",(AL36-1)/4)</f>
        <v/>
      </c>
      <c r="AM75">
        <f>IF(AM36="","",(AM36-1)/4)</f>
        <v/>
      </c>
      <c r="AN75">
        <f>IF(AN36="","",(AN36-1)/4)</f>
        <v/>
      </c>
      <c r="AO75">
        <f>IF(AO36="","",(AO36-1)/4)</f>
        <v/>
      </c>
      <c r="AP75">
        <f>IF(AP36="","",(AP36-1)/4)</f>
        <v/>
      </c>
      <c r="AQ75">
        <f>IF(AQ36="","",(AQ36-1)/4)</f>
        <v/>
      </c>
      <c r="AR75">
        <f>IF(AR36="","",(AR36-1)/4)</f>
        <v/>
      </c>
      <c r="AS75">
        <f>IF(AS36="","",(AS36-1)/4)</f>
        <v/>
      </c>
      <c r="AT75">
        <f>IF(AT36="","",(AT36-1)/4)</f>
        <v/>
      </c>
      <c r="AU75">
        <f>IF(AU36="","",(AU36-1)/4)</f>
        <v/>
      </c>
      <c r="AV75">
        <f>IF(AV36="","",(AV36-1)/4)</f>
        <v/>
      </c>
      <c r="AW75">
        <f>IF(AW36="","",(AW36-1)/4)</f>
        <v/>
      </c>
      <c r="AX75">
        <f>IF(AX36="","",(AX36-1)/4)</f>
        <v/>
      </c>
      <c r="AY75">
        <f>IF(AY36="","",(AY36-1)/4)</f>
        <v/>
      </c>
      <c r="AZ75">
        <f>IF(AZ36="","",(AZ36-1)/4)</f>
        <v/>
      </c>
      <c r="BA75">
        <f>IF(BA36="","",(BA36-1)/4)</f>
        <v/>
      </c>
      <c r="BB75">
        <f>IF(BB36="","",(BB36-1)/4)</f>
        <v/>
      </c>
    </row>
    <row r="76">
      <c r="A76" s="16" t="inlineStr">
        <is>
          <t>Q22_2</t>
        </is>
      </c>
      <c r="B76" s="16" t="inlineStr">
        <is>
          <t>정보공유·의사소통</t>
        </is>
      </c>
      <c r="C76" s="46">
        <f>가중치!$F$29</f>
        <v/>
      </c>
      <c r="E76">
        <f>IF(E37="","",(E37-1)/4)</f>
        <v/>
      </c>
      <c r="F76">
        <f>IF(F37="","",(F37-1)/4)</f>
        <v/>
      </c>
      <c r="G76">
        <f>IF(G37="","",(G37-1)/4)</f>
        <v/>
      </c>
      <c r="H76">
        <f>IF(H37="","",(H37-1)/4)</f>
        <v/>
      </c>
      <c r="I76">
        <f>IF(I37="","",(I37-1)/4)</f>
        <v/>
      </c>
      <c r="J76">
        <f>IF(J37="","",(J37-1)/4)</f>
        <v/>
      </c>
      <c r="K76">
        <f>IF(K37="","",(K37-1)/4)</f>
        <v/>
      </c>
      <c r="L76">
        <f>IF(L37="","",(L37-1)/4)</f>
        <v/>
      </c>
      <c r="M76">
        <f>IF(M37="","",(M37-1)/4)</f>
        <v/>
      </c>
      <c r="N76">
        <f>IF(N37="","",(N37-1)/4)</f>
        <v/>
      </c>
      <c r="O76">
        <f>IF(O37="","",(O37-1)/4)</f>
        <v/>
      </c>
      <c r="P76">
        <f>IF(P37="","",(P37-1)/4)</f>
        <v/>
      </c>
      <c r="Q76">
        <f>IF(Q37="","",(Q37-1)/4)</f>
        <v/>
      </c>
      <c r="R76">
        <f>IF(R37="","",(R37-1)/4)</f>
        <v/>
      </c>
      <c r="S76">
        <f>IF(S37="","",(S37-1)/4)</f>
        <v/>
      </c>
      <c r="T76">
        <f>IF(T37="","",(T37-1)/4)</f>
        <v/>
      </c>
      <c r="U76">
        <f>IF(U37="","",(U37-1)/4)</f>
        <v/>
      </c>
      <c r="V76">
        <f>IF(V37="","",(V37-1)/4)</f>
        <v/>
      </c>
      <c r="W76">
        <f>IF(W37="","",(W37-1)/4)</f>
        <v/>
      </c>
      <c r="X76">
        <f>IF(X37="","",(X37-1)/4)</f>
        <v/>
      </c>
      <c r="Y76">
        <f>IF(Y37="","",(Y37-1)/4)</f>
        <v/>
      </c>
      <c r="Z76">
        <f>IF(Z37="","",(Z37-1)/4)</f>
        <v/>
      </c>
      <c r="AA76">
        <f>IF(AA37="","",(AA37-1)/4)</f>
        <v/>
      </c>
      <c r="AB76">
        <f>IF(AB37="","",(AB37-1)/4)</f>
        <v/>
      </c>
      <c r="AC76">
        <f>IF(AC37="","",(AC37-1)/4)</f>
        <v/>
      </c>
      <c r="AD76">
        <f>IF(AD37="","",(AD37-1)/4)</f>
        <v/>
      </c>
      <c r="AE76">
        <f>IF(AE37="","",(AE37-1)/4)</f>
        <v/>
      </c>
      <c r="AF76">
        <f>IF(AF37="","",(AF37-1)/4)</f>
        <v/>
      </c>
      <c r="AG76">
        <f>IF(AG37="","",(AG37-1)/4)</f>
        <v/>
      </c>
      <c r="AH76">
        <f>IF(AH37="","",(AH37-1)/4)</f>
        <v/>
      </c>
      <c r="AI76">
        <f>IF(AI37="","",(AI37-1)/4)</f>
        <v/>
      </c>
      <c r="AJ76">
        <f>IF(AJ37="","",(AJ37-1)/4)</f>
        <v/>
      </c>
      <c r="AK76">
        <f>IF(AK37="","",(AK37-1)/4)</f>
        <v/>
      </c>
      <c r="AL76">
        <f>IF(AL37="","",(AL37-1)/4)</f>
        <v/>
      </c>
      <c r="AM76">
        <f>IF(AM37="","",(AM37-1)/4)</f>
        <v/>
      </c>
      <c r="AN76">
        <f>IF(AN37="","",(AN37-1)/4)</f>
        <v/>
      </c>
      <c r="AO76">
        <f>IF(AO37="","",(AO37-1)/4)</f>
        <v/>
      </c>
      <c r="AP76">
        <f>IF(AP37="","",(AP37-1)/4)</f>
        <v/>
      </c>
      <c r="AQ76">
        <f>IF(AQ37="","",(AQ37-1)/4)</f>
        <v/>
      </c>
      <c r="AR76">
        <f>IF(AR37="","",(AR37-1)/4)</f>
        <v/>
      </c>
      <c r="AS76">
        <f>IF(AS37="","",(AS37-1)/4)</f>
        <v/>
      </c>
      <c r="AT76">
        <f>IF(AT37="","",(AT37-1)/4)</f>
        <v/>
      </c>
      <c r="AU76">
        <f>IF(AU37="","",(AU37-1)/4)</f>
        <v/>
      </c>
      <c r="AV76">
        <f>IF(AV37="","",(AV37-1)/4)</f>
        <v/>
      </c>
      <c r="AW76">
        <f>IF(AW37="","",(AW37-1)/4)</f>
        <v/>
      </c>
      <c r="AX76">
        <f>IF(AX37="","",(AX37-1)/4)</f>
        <v/>
      </c>
      <c r="AY76">
        <f>IF(AY37="","",(AY37-1)/4)</f>
        <v/>
      </c>
      <c r="AZ76">
        <f>IF(AZ37="","",(AZ37-1)/4)</f>
        <v/>
      </c>
      <c r="BA76">
        <f>IF(BA37="","",(BA37-1)/4)</f>
        <v/>
      </c>
      <c r="BB76">
        <f>IF(BB37="","",(BB37-1)/4)</f>
        <v/>
      </c>
    </row>
    <row r="77">
      <c r="A77" s="16" t="inlineStr">
        <is>
          <t>Q22_3</t>
        </is>
      </c>
      <c r="B77" s="16" t="inlineStr">
        <is>
          <t>정보공유·의사소통</t>
        </is>
      </c>
      <c r="C77" s="46">
        <f>가중치!$F$30</f>
        <v/>
      </c>
      <c r="E77">
        <f>IF(E38="","",(E38-1)/4)</f>
        <v/>
      </c>
      <c r="F77">
        <f>IF(F38="","",(F38-1)/4)</f>
        <v/>
      </c>
      <c r="G77">
        <f>IF(G38="","",(G38-1)/4)</f>
        <v/>
      </c>
      <c r="H77">
        <f>IF(H38="","",(H38-1)/4)</f>
        <v/>
      </c>
      <c r="I77">
        <f>IF(I38="","",(I38-1)/4)</f>
        <v/>
      </c>
      <c r="J77">
        <f>IF(J38="","",(J38-1)/4)</f>
        <v/>
      </c>
      <c r="K77">
        <f>IF(K38="","",(K38-1)/4)</f>
        <v/>
      </c>
      <c r="L77">
        <f>IF(L38="","",(L38-1)/4)</f>
        <v/>
      </c>
      <c r="M77">
        <f>IF(M38="","",(M38-1)/4)</f>
        <v/>
      </c>
      <c r="N77">
        <f>IF(N38="","",(N38-1)/4)</f>
        <v/>
      </c>
      <c r="O77">
        <f>IF(O38="","",(O38-1)/4)</f>
        <v/>
      </c>
      <c r="P77">
        <f>IF(P38="","",(P38-1)/4)</f>
        <v/>
      </c>
      <c r="Q77">
        <f>IF(Q38="","",(Q38-1)/4)</f>
        <v/>
      </c>
      <c r="R77">
        <f>IF(R38="","",(R38-1)/4)</f>
        <v/>
      </c>
      <c r="S77">
        <f>IF(S38="","",(S38-1)/4)</f>
        <v/>
      </c>
      <c r="T77">
        <f>IF(T38="","",(T38-1)/4)</f>
        <v/>
      </c>
      <c r="U77">
        <f>IF(U38="","",(U38-1)/4)</f>
        <v/>
      </c>
      <c r="V77">
        <f>IF(V38="","",(V38-1)/4)</f>
        <v/>
      </c>
      <c r="W77">
        <f>IF(W38="","",(W38-1)/4)</f>
        <v/>
      </c>
      <c r="X77">
        <f>IF(X38="","",(X38-1)/4)</f>
        <v/>
      </c>
      <c r="Y77">
        <f>IF(Y38="","",(Y38-1)/4)</f>
        <v/>
      </c>
      <c r="Z77">
        <f>IF(Z38="","",(Z38-1)/4)</f>
        <v/>
      </c>
      <c r="AA77">
        <f>IF(AA38="","",(AA38-1)/4)</f>
        <v/>
      </c>
      <c r="AB77">
        <f>IF(AB38="","",(AB38-1)/4)</f>
        <v/>
      </c>
      <c r="AC77">
        <f>IF(AC38="","",(AC38-1)/4)</f>
        <v/>
      </c>
      <c r="AD77">
        <f>IF(AD38="","",(AD38-1)/4)</f>
        <v/>
      </c>
      <c r="AE77">
        <f>IF(AE38="","",(AE38-1)/4)</f>
        <v/>
      </c>
      <c r="AF77">
        <f>IF(AF38="","",(AF38-1)/4)</f>
        <v/>
      </c>
      <c r="AG77">
        <f>IF(AG38="","",(AG38-1)/4)</f>
        <v/>
      </c>
      <c r="AH77">
        <f>IF(AH38="","",(AH38-1)/4)</f>
        <v/>
      </c>
      <c r="AI77">
        <f>IF(AI38="","",(AI38-1)/4)</f>
        <v/>
      </c>
      <c r="AJ77">
        <f>IF(AJ38="","",(AJ38-1)/4)</f>
        <v/>
      </c>
      <c r="AK77">
        <f>IF(AK38="","",(AK38-1)/4)</f>
        <v/>
      </c>
      <c r="AL77">
        <f>IF(AL38="","",(AL38-1)/4)</f>
        <v/>
      </c>
      <c r="AM77">
        <f>IF(AM38="","",(AM38-1)/4)</f>
        <v/>
      </c>
      <c r="AN77">
        <f>IF(AN38="","",(AN38-1)/4)</f>
        <v/>
      </c>
      <c r="AO77">
        <f>IF(AO38="","",(AO38-1)/4)</f>
        <v/>
      </c>
      <c r="AP77">
        <f>IF(AP38="","",(AP38-1)/4)</f>
        <v/>
      </c>
      <c r="AQ77">
        <f>IF(AQ38="","",(AQ38-1)/4)</f>
        <v/>
      </c>
      <c r="AR77">
        <f>IF(AR38="","",(AR38-1)/4)</f>
        <v/>
      </c>
      <c r="AS77">
        <f>IF(AS38="","",(AS38-1)/4)</f>
        <v/>
      </c>
      <c r="AT77">
        <f>IF(AT38="","",(AT38-1)/4)</f>
        <v/>
      </c>
      <c r="AU77">
        <f>IF(AU38="","",(AU38-1)/4)</f>
        <v/>
      </c>
      <c r="AV77">
        <f>IF(AV38="","",(AV38-1)/4)</f>
        <v/>
      </c>
      <c r="AW77">
        <f>IF(AW38="","",(AW38-1)/4)</f>
        <v/>
      </c>
      <c r="AX77">
        <f>IF(AX38="","",(AX38-1)/4)</f>
        <v/>
      </c>
      <c r="AY77">
        <f>IF(AY38="","",(AY38-1)/4)</f>
        <v/>
      </c>
      <c r="AZ77">
        <f>IF(AZ38="","",(AZ38-1)/4)</f>
        <v/>
      </c>
      <c r="BA77">
        <f>IF(BA38="","",(BA38-1)/4)</f>
        <v/>
      </c>
      <c r="BB77">
        <f>IF(BB38="","",(BB38-1)/4)</f>
        <v/>
      </c>
    </row>
    <row r="78">
      <c r="A78" s="16" t="inlineStr">
        <is>
          <t>Q22_4</t>
        </is>
      </c>
      <c r="B78" s="16" t="inlineStr">
        <is>
          <t>정보공유·의사소통</t>
        </is>
      </c>
      <c r="C78" s="46">
        <f>가중치!$F$31</f>
        <v/>
      </c>
      <c r="E78">
        <f>IF(E39="","",(E39-1)/4)</f>
        <v/>
      </c>
      <c r="F78">
        <f>IF(F39="","",(F39-1)/4)</f>
        <v/>
      </c>
      <c r="G78">
        <f>IF(G39="","",(G39-1)/4)</f>
        <v/>
      </c>
      <c r="H78">
        <f>IF(H39="","",(H39-1)/4)</f>
        <v/>
      </c>
      <c r="I78">
        <f>IF(I39="","",(I39-1)/4)</f>
        <v/>
      </c>
      <c r="J78">
        <f>IF(J39="","",(J39-1)/4)</f>
        <v/>
      </c>
      <c r="K78">
        <f>IF(K39="","",(K39-1)/4)</f>
        <v/>
      </c>
      <c r="L78">
        <f>IF(L39="","",(L39-1)/4)</f>
        <v/>
      </c>
      <c r="M78">
        <f>IF(M39="","",(M39-1)/4)</f>
        <v/>
      </c>
      <c r="N78">
        <f>IF(N39="","",(N39-1)/4)</f>
        <v/>
      </c>
      <c r="O78">
        <f>IF(O39="","",(O39-1)/4)</f>
        <v/>
      </c>
      <c r="P78">
        <f>IF(P39="","",(P39-1)/4)</f>
        <v/>
      </c>
      <c r="Q78">
        <f>IF(Q39="","",(Q39-1)/4)</f>
        <v/>
      </c>
      <c r="R78">
        <f>IF(R39="","",(R39-1)/4)</f>
        <v/>
      </c>
      <c r="S78">
        <f>IF(S39="","",(S39-1)/4)</f>
        <v/>
      </c>
      <c r="T78">
        <f>IF(T39="","",(T39-1)/4)</f>
        <v/>
      </c>
      <c r="U78">
        <f>IF(U39="","",(U39-1)/4)</f>
        <v/>
      </c>
      <c r="V78">
        <f>IF(V39="","",(V39-1)/4)</f>
        <v/>
      </c>
      <c r="W78">
        <f>IF(W39="","",(W39-1)/4)</f>
        <v/>
      </c>
      <c r="X78">
        <f>IF(X39="","",(X39-1)/4)</f>
        <v/>
      </c>
      <c r="Y78">
        <f>IF(Y39="","",(Y39-1)/4)</f>
        <v/>
      </c>
      <c r="Z78">
        <f>IF(Z39="","",(Z39-1)/4)</f>
        <v/>
      </c>
      <c r="AA78">
        <f>IF(AA39="","",(AA39-1)/4)</f>
        <v/>
      </c>
      <c r="AB78">
        <f>IF(AB39="","",(AB39-1)/4)</f>
        <v/>
      </c>
      <c r="AC78">
        <f>IF(AC39="","",(AC39-1)/4)</f>
        <v/>
      </c>
      <c r="AD78">
        <f>IF(AD39="","",(AD39-1)/4)</f>
        <v/>
      </c>
      <c r="AE78">
        <f>IF(AE39="","",(AE39-1)/4)</f>
        <v/>
      </c>
      <c r="AF78">
        <f>IF(AF39="","",(AF39-1)/4)</f>
        <v/>
      </c>
      <c r="AG78">
        <f>IF(AG39="","",(AG39-1)/4)</f>
        <v/>
      </c>
      <c r="AH78">
        <f>IF(AH39="","",(AH39-1)/4)</f>
        <v/>
      </c>
      <c r="AI78">
        <f>IF(AI39="","",(AI39-1)/4)</f>
        <v/>
      </c>
      <c r="AJ78">
        <f>IF(AJ39="","",(AJ39-1)/4)</f>
        <v/>
      </c>
      <c r="AK78">
        <f>IF(AK39="","",(AK39-1)/4)</f>
        <v/>
      </c>
      <c r="AL78">
        <f>IF(AL39="","",(AL39-1)/4)</f>
        <v/>
      </c>
      <c r="AM78">
        <f>IF(AM39="","",(AM39-1)/4)</f>
        <v/>
      </c>
      <c r="AN78">
        <f>IF(AN39="","",(AN39-1)/4)</f>
        <v/>
      </c>
      <c r="AO78">
        <f>IF(AO39="","",(AO39-1)/4)</f>
        <v/>
      </c>
      <c r="AP78">
        <f>IF(AP39="","",(AP39-1)/4)</f>
        <v/>
      </c>
      <c r="AQ78">
        <f>IF(AQ39="","",(AQ39-1)/4)</f>
        <v/>
      </c>
      <c r="AR78">
        <f>IF(AR39="","",(AR39-1)/4)</f>
        <v/>
      </c>
      <c r="AS78">
        <f>IF(AS39="","",(AS39-1)/4)</f>
        <v/>
      </c>
      <c r="AT78">
        <f>IF(AT39="","",(AT39-1)/4)</f>
        <v/>
      </c>
      <c r="AU78">
        <f>IF(AU39="","",(AU39-1)/4)</f>
        <v/>
      </c>
      <c r="AV78">
        <f>IF(AV39="","",(AV39-1)/4)</f>
        <v/>
      </c>
      <c r="AW78">
        <f>IF(AW39="","",(AW39-1)/4)</f>
        <v/>
      </c>
      <c r="AX78">
        <f>IF(AX39="","",(AX39-1)/4)</f>
        <v/>
      </c>
      <c r="AY78">
        <f>IF(AY39="","",(AY39-1)/4)</f>
        <v/>
      </c>
      <c r="AZ78">
        <f>IF(AZ39="","",(AZ39-1)/4)</f>
        <v/>
      </c>
      <c r="BA78">
        <f>IF(BA39="","",(BA39-1)/4)</f>
        <v/>
      </c>
      <c r="BB78">
        <f>IF(BB39="","",(BB39-1)/4)</f>
        <v/>
      </c>
    </row>
    <row r="79">
      <c r="A79" s="16" t="inlineStr">
        <is>
          <t>Q19_1</t>
        </is>
      </c>
      <c r="B79" s="16" t="inlineStr">
        <is>
          <t>고충처리</t>
        </is>
      </c>
      <c r="C79" s="46">
        <f>가중치!$F$32</f>
        <v/>
      </c>
      <c r="E79">
        <f>IF(E26="","",(E26-1)/4)</f>
        <v/>
      </c>
      <c r="F79">
        <f>IF(F26="","",(F26-1)/4)</f>
        <v/>
      </c>
      <c r="G79">
        <f>IF(G26="","",(G26-1)/4)</f>
        <v/>
      </c>
      <c r="H79">
        <f>IF(H26="","",(H26-1)/4)</f>
        <v/>
      </c>
      <c r="I79">
        <f>IF(I26="","",(I26-1)/4)</f>
        <v/>
      </c>
      <c r="J79">
        <f>IF(J26="","",(J26-1)/4)</f>
        <v/>
      </c>
      <c r="K79">
        <f>IF(K26="","",(K26-1)/4)</f>
        <v/>
      </c>
      <c r="L79">
        <f>IF(L26="","",(L26-1)/4)</f>
        <v/>
      </c>
      <c r="M79">
        <f>IF(M26="","",(M26-1)/4)</f>
        <v/>
      </c>
      <c r="N79">
        <f>IF(N26="","",(N26-1)/4)</f>
        <v/>
      </c>
      <c r="O79">
        <f>IF(O26="","",(O26-1)/4)</f>
        <v/>
      </c>
      <c r="P79">
        <f>IF(P26="","",(P26-1)/4)</f>
        <v/>
      </c>
      <c r="Q79">
        <f>IF(Q26="","",(Q26-1)/4)</f>
        <v/>
      </c>
      <c r="R79">
        <f>IF(R26="","",(R26-1)/4)</f>
        <v/>
      </c>
      <c r="S79">
        <f>IF(S26="","",(S26-1)/4)</f>
        <v/>
      </c>
      <c r="T79">
        <f>IF(T26="","",(T26-1)/4)</f>
        <v/>
      </c>
      <c r="U79">
        <f>IF(U26="","",(U26-1)/4)</f>
        <v/>
      </c>
      <c r="V79">
        <f>IF(V26="","",(V26-1)/4)</f>
        <v/>
      </c>
      <c r="W79">
        <f>IF(W26="","",(W26-1)/4)</f>
        <v/>
      </c>
      <c r="X79">
        <f>IF(X26="","",(X26-1)/4)</f>
        <v/>
      </c>
      <c r="Y79">
        <f>IF(Y26="","",(Y26-1)/4)</f>
        <v/>
      </c>
      <c r="Z79">
        <f>IF(Z26="","",(Z26-1)/4)</f>
        <v/>
      </c>
      <c r="AA79">
        <f>IF(AA26="","",(AA26-1)/4)</f>
        <v/>
      </c>
      <c r="AB79">
        <f>IF(AB26="","",(AB26-1)/4)</f>
        <v/>
      </c>
      <c r="AC79">
        <f>IF(AC26="","",(AC26-1)/4)</f>
        <v/>
      </c>
      <c r="AD79">
        <f>IF(AD26="","",(AD26-1)/4)</f>
        <v/>
      </c>
      <c r="AE79">
        <f>IF(AE26="","",(AE26-1)/4)</f>
        <v/>
      </c>
      <c r="AF79">
        <f>IF(AF26="","",(AF26-1)/4)</f>
        <v/>
      </c>
      <c r="AG79">
        <f>IF(AG26="","",(AG26-1)/4)</f>
        <v/>
      </c>
      <c r="AH79">
        <f>IF(AH26="","",(AH26-1)/4)</f>
        <v/>
      </c>
      <c r="AI79">
        <f>IF(AI26="","",(AI26-1)/4)</f>
        <v/>
      </c>
      <c r="AJ79">
        <f>IF(AJ26="","",(AJ26-1)/4)</f>
        <v/>
      </c>
      <c r="AK79">
        <f>IF(AK26="","",(AK26-1)/4)</f>
        <v/>
      </c>
      <c r="AL79">
        <f>IF(AL26="","",(AL26-1)/4)</f>
        <v/>
      </c>
      <c r="AM79">
        <f>IF(AM26="","",(AM26-1)/4)</f>
        <v/>
      </c>
      <c r="AN79">
        <f>IF(AN26="","",(AN26-1)/4)</f>
        <v/>
      </c>
      <c r="AO79">
        <f>IF(AO26="","",(AO26-1)/4)</f>
        <v/>
      </c>
      <c r="AP79">
        <f>IF(AP26="","",(AP26-1)/4)</f>
        <v/>
      </c>
      <c r="AQ79">
        <f>IF(AQ26="","",(AQ26-1)/4)</f>
        <v/>
      </c>
      <c r="AR79">
        <f>IF(AR26="","",(AR26-1)/4)</f>
        <v/>
      </c>
      <c r="AS79">
        <f>IF(AS26="","",(AS26-1)/4)</f>
        <v/>
      </c>
      <c r="AT79">
        <f>IF(AT26="","",(AT26-1)/4)</f>
        <v/>
      </c>
      <c r="AU79">
        <f>IF(AU26="","",(AU26-1)/4)</f>
        <v/>
      </c>
      <c r="AV79">
        <f>IF(AV26="","",(AV26-1)/4)</f>
        <v/>
      </c>
      <c r="AW79">
        <f>IF(AW26="","",(AW26-1)/4)</f>
        <v/>
      </c>
      <c r="AX79">
        <f>IF(AX26="","",(AX26-1)/4)</f>
        <v/>
      </c>
      <c r="AY79">
        <f>IF(AY26="","",(AY26-1)/4)</f>
        <v/>
      </c>
      <c r="AZ79">
        <f>IF(AZ26="","",(AZ26-1)/4)</f>
        <v/>
      </c>
      <c r="BA79">
        <f>IF(BA26="","",(BA26-1)/4)</f>
        <v/>
      </c>
      <c r="BB79">
        <f>IF(BB26="","",(BB26-1)/4)</f>
        <v/>
      </c>
    </row>
    <row r="80">
      <c r="A80" s="16" t="inlineStr">
        <is>
          <t>Q19_2</t>
        </is>
      </c>
      <c r="B80" s="16" t="inlineStr">
        <is>
          <t>고충처리</t>
        </is>
      </c>
      <c r="C80" s="46">
        <f>가중치!$F$33</f>
        <v/>
      </c>
      <c r="E80">
        <f>IF(E27="","",(E27-1)/4)</f>
        <v/>
      </c>
      <c r="F80">
        <f>IF(F27="","",(F27-1)/4)</f>
        <v/>
      </c>
      <c r="G80">
        <f>IF(G27="","",(G27-1)/4)</f>
        <v/>
      </c>
      <c r="H80">
        <f>IF(H27="","",(H27-1)/4)</f>
        <v/>
      </c>
      <c r="I80">
        <f>IF(I27="","",(I27-1)/4)</f>
        <v/>
      </c>
      <c r="J80">
        <f>IF(J27="","",(J27-1)/4)</f>
        <v/>
      </c>
      <c r="K80">
        <f>IF(K27="","",(K27-1)/4)</f>
        <v/>
      </c>
      <c r="L80">
        <f>IF(L27="","",(L27-1)/4)</f>
        <v/>
      </c>
      <c r="M80">
        <f>IF(M27="","",(M27-1)/4)</f>
        <v/>
      </c>
      <c r="N80">
        <f>IF(N27="","",(N27-1)/4)</f>
        <v/>
      </c>
      <c r="O80">
        <f>IF(O27="","",(O27-1)/4)</f>
        <v/>
      </c>
      <c r="P80">
        <f>IF(P27="","",(P27-1)/4)</f>
        <v/>
      </c>
      <c r="Q80">
        <f>IF(Q27="","",(Q27-1)/4)</f>
        <v/>
      </c>
      <c r="R80">
        <f>IF(R27="","",(R27-1)/4)</f>
        <v/>
      </c>
      <c r="S80">
        <f>IF(S27="","",(S27-1)/4)</f>
        <v/>
      </c>
      <c r="T80">
        <f>IF(T27="","",(T27-1)/4)</f>
        <v/>
      </c>
      <c r="U80">
        <f>IF(U27="","",(U27-1)/4)</f>
        <v/>
      </c>
      <c r="V80">
        <f>IF(V27="","",(V27-1)/4)</f>
        <v/>
      </c>
      <c r="W80">
        <f>IF(W27="","",(W27-1)/4)</f>
        <v/>
      </c>
      <c r="X80">
        <f>IF(X27="","",(X27-1)/4)</f>
        <v/>
      </c>
      <c r="Y80">
        <f>IF(Y27="","",(Y27-1)/4)</f>
        <v/>
      </c>
      <c r="Z80">
        <f>IF(Z27="","",(Z27-1)/4)</f>
        <v/>
      </c>
      <c r="AA80">
        <f>IF(AA27="","",(AA27-1)/4)</f>
        <v/>
      </c>
      <c r="AB80">
        <f>IF(AB27="","",(AB27-1)/4)</f>
        <v/>
      </c>
      <c r="AC80">
        <f>IF(AC27="","",(AC27-1)/4)</f>
        <v/>
      </c>
      <c r="AD80">
        <f>IF(AD27="","",(AD27-1)/4)</f>
        <v/>
      </c>
      <c r="AE80">
        <f>IF(AE27="","",(AE27-1)/4)</f>
        <v/>
      </c>
      <c r="AF80">
        <f>IF(AF27="","",(AF27-1)/4)</f>
        <v/>
      </c>
      <c r="AG80">
        <f>IF(AG27="","",(AG27-1)/4)</f>
        <v/>
      </c>
      <c r="AH80">
        <f>IF(AH27="","",(AH27-1)/4)</f>
        <v/>
      </c>
      <c r="AI80">
        <f>IF(AI27="","",(AI27-1)/4)</f>
        <v/>
      </c>
      <c r="AJ80">
        <f>IF(AJ27="","",(AJ27-1)/4)</f>
        <v/>
      </c>
      <c r="AK80">
        <f>IF(AK27="","",(AK27-1)/4)</f>
        <v/>
      </c>
      <c r="AL80">
        <f>IF(AL27="","",(AL27-1)/4)</f>
        <v/>
      </c>
      <c r="AM80">
        <f>IF(AM27="","",(AM27-1)/4)</f>
        <v/>
      </c>
      <c r="AN80">
        <f>IF(AN27="","",(AN27-1)/4)</f>
        <v/>
      </c>
      <c r="AO80">
        <f>IF(AO27="","",(AO27-1)/4)</f>
        <v/>
      </c>
      <c r="AP80">
        <f>IF(AP27="","",(AP27-1)/4)</f>
        <v/>
      </c>
      <c r="AQ80">
        <f>IF(AQ27="","",(AQ27-1)/4)</f>
        <v/>
      </c>
      <c r="AR80">
        <f>IF(AR27="","",(AR27-1)/4)</f>
        <v/>
      </c>
      <c r="AS80">
        <f>IF(AS27="","",(AS27-1)/4)</f>
        <v/>
      </c>
      <c r="AT80">
        <f>IF(AT27="","",(AT27-1)/4)</f>
        <v/>
      </c>
      <c r="AU80">
        <f>IF(AU27="","",(AU27-1)/4)</f>
        <v/>
      </c>
      <c r="AV80">
        <f>IF(AV27="","",(AV27-1)/4)</f>
        <v/>
      </c>
      <c r="AW80">
        <f>IF(AW27="","",(AW27-1)/4)</f>
        <v/>
      </c>
      <c r="AX80">
        <f>IF(AX27="","",(AX27-1)/4)</f>
        <v/>
      </c>
      <c r="AY80">
        <f>IF(AY27="","",(AY27-1)/4)</f>
        <v/>
      </c>
      <c r="AZ80">
        <f>IF(AZ27="","",(AZ27-1)/4)</f>
        <v/>
      </c>
      <c r="BA80">
        <f>IF(BA27="","",(BA27-1)/4)</f>
        <v/>
      </c>
      <c r="BB80">
        <f>IF(BB27="","",(BB27-1)/4)</f>
        <v/>
      </c>
    </row>
    <row r="81">
      <c r="A81" s="16" t="inlineStr">
        <is>
          <t>Q19_3</t>
        </is>
      </c>
      <c r="B81" s="16" t="inlineStr">
        <is>
          <t>고충처리</t>
        </is>
      </c>
      <c r="C81" s="46">
        <f>가중치!$F$34</f>
        <v/>
      </c>
      <c r="E81">
        <f>IF(E28="","",(E28-1)/4)</f>
        <v/>
      </c>
      <c r="F81">
        <f>IF(F28="","",(F28-1)/4)</f>
        <v/>
      </c>
      <c r="G81">
        <f>IF(G28="","",(G28-1)/4)</f>
        <v/>
      </c>
      <c r="H81">
        <f>IF(H28="","",(H28-1)/4)</f>
        <v/>
      </c>
      <c r="I81">
        <f>IF(I28="","",(I28-1)/4)</f>
        <v/>
      </c>
      <c r="J81">
        <f>IF(J28="","",(J28-1)/4)</f>
        <v/>
      </c>
      <c r="K81">
        <f>IF(K28="","",(K28-1)/4)</f>
        <v/>
      </c>
      <c r="L81">
        <f>IF(L28="","",(L28-1)/4)</f>
        <v/>
      </c>
      <c r="M81">
        <f>IF(M28="","",(M28-1)/4)</f>
        <v/>
      </c>
      <c r="N81">
        <f>IF(N28="","",(N28-1)/4)</f>
        <v/>
      </c>
      <c r="O81">
        <f>IF(O28="","",(O28-1)/4)</f>
        <v/>
      </c>
      <c r="P81">
        <f>IF(P28="","",(P28-1)/4)</f>
        <v/>
      </c>
      <c r="Q81">
        <f>IF(Q28="","",(Q28-1)/4)</f>
        <v/>
      </c>
      <c r="R81">
        <f>IF(R28="","",(R28-1)/4)</f>
        <v/>
      </c>
      <c r="S81">
        <f>IF(S28="","",(S28-1)/4)</f>
        <v/>
      </c>
      <c r="T81">
        <f>IF(T28="","",(T28-1)/4)</f>
        <v/>
      </c>
      <c r="U81">
        <f>IF(U28="","",(U28-1)/4)</f>
        <v/>
      </c>
      <c r="V81">
        <f>IF(V28="","",(V28-1)/4)</f>
        <v/>
      </c>
      <c r="W81">
        <f>IF(W28="","",(W28-1)/4)</f>
        <v/>
      </c>
      <c r="X81">
        <f>IF(X28="","",(X28-1)/4)</f>
        <v/>
      </c>
      <c r="Y81">
        <f>IF(Y28="","",(Y28-1)/4)</f>
        <v/>
      </c>
      <c r="Z81">
        <f>IF(Z28="","",(Z28-1)/4)</f>
        <v/>
      </c>
      <c r="AA81">
        <f>IF(AA28="","",(AA28-1)/4)</f>
        <v/>
      </c>
      <c r="AB81">
        <f>IF(AB28="","",(AB28-1)/4)</f>
        <v/>
      </c>
      <c r="AC81">
        <f>IF(AC28="","",(AC28-1)/4)</f>
        <v/>
      </c>
      <c r="AD81">
        <f>IF(AD28="","",(AD28-1)/4)</f>
        <v/>
      </c>
      <c r="AE81">
        <f>IF(AE28="","",(AE28-1)/4)</f>
        <v/>
      </c>
      <c r="AF81">
        <f>IF(AF28="","",(AF28-1)/4)</f>
        <v/>
      </c>
      <c r="AG81">
        <f>IF(AG28="","",(AG28-1)/4)</f>
        <v/>
      </c>
      <c r="AH81">
        <f>IF(AH28="","",(AH28-1)/4)</f>
        <v/>
      </c>
      <c r="AI81">
        <f>IF(AI28="","",(AI28-1)/4)</f>
        <v/>
      </c>
      <c r="AJ81">
        <f>IF(AJ28="","",(AJ28-1)/4)</f>
        <v/>
      </c>
      <c r="AK81">
        <f>IF(AK28="","",(AK28-1)/4)</f>
        <v/>
      </c>
      <c r="AL81">
        <f>IF(AL28="","",(AL28-1)/4)</f>
        <v/>
      </c>
      <c r="AM81">
        <f>IF(AM28="","",(AM28-1)/4)</f>
        <v/>
      </c>
      <c r="AN81">
        <f>IF(AN28="","",(AN28-1)/4)</f>
        <v/>
      </c>
      <c r="AO81">
        <f>IF(AO28="","",(AO28-1)/4)</f>
        <v/>
      </c>
      <c r="AP81">
        <f>IF(AP28="","",(AP28-1)/4)</f>
        <v/>
      </c>
      <c r="AQ81">
        <f>IF(AQ28="","",(AQ28-1)/4)</f>
        <v/>
      </c>
      <c r="AR81">
        <f>IF(AR28="","",(AR28-1)/4)</f>
        <v/>
      </c>
      <c r="AS81">
        <f>IF(AS28="","",(AS28-1)/4)</f>
        <v/>
      </c>
      <c r="AT81">
        <f>IF(AT28="","",(AT28-1)/4)</f>
        <v/>
      </c>
      <c r="AU81">
        <f>IF(AU28="","",(AU28-1)/4)</f>
        <v/>
      </c>
      <c r="AV81">
        <f>IF(AV28="","",(AV28-1)/4)</f>
        <v/>
      </c>
      <c r="AW81">
        <f>IF(AW28="","",(AW28-1)/4)</f>
        <v/>
      </c>
      <c r="AX81">
        <f>IF(AX28="","",(AX28-1)/4)</f>
        <v/>
      </c>
      <c r="AY81">
        <f>IF(AY28="","",(AY28-1)/4)</f>
        <v/>
      </c>
      <c r="AZ81">
        <f>IF(AZ28="","",(AZ28-1)/4)</f>
        <v/>
      </c>
      <c r="BA81">
        <f>IF(BA28="","",(BA28-1)/4)</f>
        <v/>
      </c>
      <c r="BB81">
        <f>IF(BB28="","",(BB28-1)/4)</f>
        <v/>
      </c>
    </row>
    <row r="82">
      <c r="A82" s="16" t="inlineStr">
        <is>
          <t>Q19_4</t>
        </is>
      </c>
      <c r="B82" s="16" t="inlineStr">
        <is>
          <t>고충처리</t>
        </is>
      </c>
      <c r="C82" s="46">
        <f>가중치!$F$35</f>
        <v/>
      </c>
      <c r="E82">
        <f>IF(E29="","",(E29-1)/4)</f>
        <v/>
      </c>
      <c r="F82">
        <f>IF(F29="","",(F29-1)/4)</f>
        <v/>
      </c>
      <c r="G82">
        <f>IF(G29="","",(G29-1)/4)</f>
        <v/>
      </c>
      <c r="H82">
        <f>IF(H29="","",(H29-1)/4)</f>
        <v/>
      </c>
      <c r="I82">
        <f>IF(I29="","",(I29-1)/4)</f>
        <v/>
      </c>
      <c r="J82">
        <f>IF(J29="","",(J29-1)/4)</f>
        <v/>
      </c>
      <c r="K82">
        <f>IF(K29="","",(K29-1)/4)</f>
        <v/>
      </c>
      <c r="L82">
        <f>IF(L29="","",(L29-1)/4)</f>
        <v/>
      </c>
      <c r="M82">
        <f>IF(M29="","",(M29-1)/4)</f>
        <v/>
      </c>
      <c r="N82">
        <f>IF(N29="","",(N29-1)/4)</f>
        <v/>
      </c>
      <c r="O82">
        <f>IF(O29="","",(O29-1)/4)</f>
        <v/>
      </c>
      <c r="P82">
        <f>IF(P29="","",(P29-1)/4)</f>
        <v/>
      </c>
      <c r="Q82">
        <f>IF(Q29="","",(Q29-1)/4)</f>
        <v/>
      </c>
      <c r="R82">
        <f>IF(R29="","",(R29-1)/4)</f>
        <v/>
      </c>
      <c r="S82">
        <f>IF(S29="","",(S29-1)/4)</f>
        <v/>
      </c>
      <c r="T82">
        <f>IF(T29="","",(T29-1)/4)</f>
        <v/>
      </c>
      <c r="U82">
        <f>IF(U29="","",(U29-1)/4)</f>
        <v/>
      </c>
      <c r="V82">
        <f>IF(V29="","",(V29-1)/4)</f>
        <v/>
      </c>
      <c r="W82">
        <f>IF(W29="","",(W29-1)/4)</f>
        <v/>
      </c>
      <c r="X82">
        <f>IF(X29="","",(X29-1)/4)</f>
        <v/>
      </c>
      <c r="Y82">
        <f>IF(Y29="","",(Y29-1)/4)</f>
        <v/>
      </c>
      <c r="Z82">
        <f>IF(Z29="","",(Z29-1)/4)</f>
        <v/>
      </c>
      <c r="AA82">
        <f>IF(AA29="","",(AA29-1)/4)</f>
        <v/>
      </c>
      <c r="AB82">
        <f>IF(AB29="","",(AB29-1)/4)</f>
        <v/>
      </c>
      <c r="AC82">
        <f>IF(AC29="","",(AC29-1)/4)</f>
        <v/>
      </c>
      <c r="AD82">
        <f>IF(AD29="","",(AD29-1)/4)</f>
        <v/>
      </c>
      <c r="AE82">
        <f>IF(AE29="","",(AE29-1)/4)</f>
        <v/>
      </c>
      <c r="AF82">
        <f>IF(AF29="","",(AF29-1)/4)</f>
        <v/>
      </c>
      <c r="AG82">
        <f>IF(AG29="","",(AG29-1)/4)</f>
        <v/>
      </c>
      <c r="AH82">
        <f>IF(AH29="","",(AH29-1)/4)</f>
        <v/>
      </c>
      <c r="AI82">
        <f>IF(AI29="","",(AI29-1)/4)</f>
        <v/>
      </c>
      <c r="AJ82">
        <f>IF(AJ29="","",(AJ29-1)/4)</f>
        <v/>
      </c>
      <c r="AK82">
        <f>IF(AK29="","",(AK29-1)/4)</f>
        <v/>
      </c>
      <c r="AL82">
        <f>IF(AL29="","",(AL29-1)/4)</f>
        <v/>
      </c>
      <c r="AM82">
        <f>IF(AM29="","",(AM29-1)/4)</f>
        <v/>
      </c>
      <c r="AN82">
        <f>IF(AN29="","",(AN29-1)/4)</f>
        <v/>
      </c>
      <c r="AO82">
        <f>IF(AO29="","",(AO29-1)/4)</f>
        <v/>
      </c>
      <c r="AP82">
        <f>IF(AP29="","",(AP29-1)/4)</f>
        <v/>
      </c>
      <c r="AQ82">
        <f>IF(AQ29="","",(AQ29-1)/4)</f>
        <v/>
      </c>
      <c r="AR82">
        <f>IF(AR29="","",(AR29-1)/4)</f>
        <v/>
      </c>
      <c r="AS82">
        <f>IF(AS29="","",(AS29-1)/4)</f>
        <v/>
      </c>
      <c r="AT82">
        <f>IF(AT29="","",(AT29-1)/4)</f>
        <v/>
      </c>
      <c r="AU82">
        <f>IF(AU29="","",(AU29-1)/4)</f>
        <v/>
      </c>
      <c r="AV82">
        <f>IF(AV29="","",(AV29-1)/4)</f>
        <v/>
      </c>
      <c r="AW82">
        <f>IF(AW29="","",(AW29-1)/4)</f>
        <v/>
      </c>
      <c r="AX82">
        <f>IF(AX29="","",(AX29-1)/4)</f>
        <v/>
      </c>
      <c r="AY82">
        <f>IF(AY29="","",(AY29-1)/4)</f>
        <v/>
      </c>
      <c r="AZ82">
        <f>IF(AZ29="","",(AZ29-1)/4)</f>
        <v/>
      </c>
      <c r="BA82">
        <f>IF(BA29="","",(BA29-1)/4)</f>
        <v/>
      </c>
      <c r="BB82">
        <f>IF(BB29="","",(BB29-1)/4)</f>
        <v/>
      </c>
    </row>
    <row r="83">
      <c r="A83" s="16" t="inlineStr">
        <is>
          <t>Q23_1</t>
        </is>
      </c>
      <c r="B83" s="16" t="inlineStr">
        <is>
          <t>노사협의회 활용성</t>
        </is>
      </c>
      <c r="C83" s="46">
        <f>가중치!$F$36</f>
        <v/>
      </c>
      <c r="E83">
        <f>IF(E40="","",(E40-1)/4)</f>
        <v/>
      </c>
      <c r="F83">
        <f>IF(F40="","",(F40-1)/4)</f>
        <v/>
      </c>
      <c r="G83">
        <f>IF(G40="","",(G40-1)/4)</f>
        <v/>
      </c>
      <c r="H83">
        <f>IF(H40="","",(H40-1)/4)</f>
        <v/>
      </c>
      <c r="I83">
        <f>IF(I40="","",(I40-1)/4)</f>
        <v/>
      </c>
      <c r="J83">
        <f>IF(J40="","",(J40-1)/4)</f>
        <v/>
      </c>
      <c r="K83">
        <f>IF(K40="","",(K40-1)/4)</f>
        <v/>
      </c>
      <c r="L83">
        <f>IF(L40="","",(L40-1)/4)</f>
        <v/>
      </c>
      <c r="M83">
        <f>IF(M40="","",(M40-1)/4)</f>
        <v/>
      </c>
      <c r="N83">
        <f>IF(N40="","",(N40-1)/4)</f>
        <v/>
      </c>
      <c r="O83">
        <f>IF(O40="","",(O40-1)/4)</f>
        <v/>
      </c>
      <c r="P83">
        <f>IF(P40="","",(P40-1)/4)</f>
        <v/>
      </c>
      <c r="Q83">
        <f>IF(Q40="","",(Q40-1)/4)</f>
        <v/>
      </c>
      <c r="R83">
        <f>IF(R40="","",(R40-1)/4)</f>
        <v/>
      </c>
      <c r="S83">
        <f>IF(S40="","",(S40-1)/4)</f>
        <v/>
      </c>
      <c r="T83">
        <f>IF(T40="","",(T40-1)/4)</f>
        <v/>
      </c>
      <c r="U83">
        <f>IF(U40="","",(U40-1)/4)</f>
        <v/>
      </c>
      <c r="V83">
        <f>IF(V40="","",(V40-1)/4)</f>
        <v/>
      </c>
      <c r="W83">
        <f>IF(W40="","",(W40-1)/4)</f>
        <v/>
      </c>
      <c r="X83">
        <f>IF(X40="","",(X40-1)/4)</f>
        <v/>
      </c>
      <c r="Y83">
        <f>IF(Y40="","",(Y40-1)/4)</f>
        <v/>
      </c>
      <c r="Z83">
        <f>IF(Z40="","",(Z40-1)/4)</f>
        <v/>
      </c>
      <c r="AA83">
        <f>IF(AA40="","",(AA40-1)/4)</f>
        <v/>
      </c>
      <c r="AB83">
        <f>IF(AB40="","",(AB40-1)/4)</f>
        <v/>
      </c>
      <c r="AC83">
        <f>IF(AC40="","",(AC40-1)/4)</f>
        <v/>
      </c>
      <c r="AD83">
        <f>IF(AD40="","",(AD40-1)/4)</f>
        <v/>
      </c>
      <c r="AE83">
        <f>IF(AE40="","",(AE40-1)/4)</f>
        <v/>
      </c>
      <c r="AF83">
        <f>IF(AF40="","",(AF40-1)/4)</f>
        <v/>
      </c>
      <c r="AG83">
        <f>IF(AG40="","",(AG40-1)/4)</f>
        <v/>
      </c>
      <c r="AH83">
        <f>IF(AH40="","",(AH40-1)/4)</f>
        <v/>
      </c>
      <c r="AI83">
        <f>IF(AI40="","",(AI40-1)/4)</f>
        <v/>
      </c>
      <c r="AJ83">
        <f>IF(AJ40="","",(AJ40-1)/4)</f>
        <v/>
      </c>
      <c r="AK83">
        <f>IF(AK40="","",(AK40-1)/4)</f>
        <v/>
      </c>
      <c r="AL83">
        <f>IF(AL40="","",(AL40-1)/4)</f>
        <v/>
      </c>
      <c r="AM83">
        <f>IF(AM40="","",(AM40-1)/4)</f>
        <v/>
      </c>
      <c r="AN83">
        <f>IF(AN40="","",(AN40-1)/4)</f>
        <v/>
      </c>
      <c r="AO83">
        <f>IF(AO40="","",(AO40-1)/4)</f>
        <v/>
      </c>
      <c r="AP83">
        <f>IF(AP40="","",(AP40-1)/4)</f>
        <v/>
      </c>
      <c r="AQ83">
        <f>IF(AQ40="","",(AQ40-1)/4)</f>
        <v/>
      </c>
      <c r="AR83">
        <f>IF(AR40="","",(AR40-1)/4)</f>
        <v/>
      </c>
      <c r="AS83">
        <f>IF(AS40="","",(AS40-1)/4)</f>
        <v/>
      </c>
      <c r="AT83">
        <f>IF(AT40="","",(AT40-1)/4)</f>
        <v/>
      </c>
      <c r="AU83">
        <f>IF(AU40="","",(AU40-1)/4)</f>
        <v/>
      </c>
      <c r="AV83">
        <f>IF(AV40="","",(AV40-1)/4)</f>
        <v/>
      </c>
      <c r="AW83">
        <f>IF(AW40="","",(AW40-1)/4)</f>
        <v/>
      </c>
      <c r="AX83">
        <f>IF(AX40="","",(AX40-1)/4)</f>
        <v/>
      </c>
      <c r="AY83">
        <f>IF(AY40="","",(AY40-1)/4)</f>
        <v/>
      </c>
      <c r="AZ83">
        <f>IF(AZ40="","",(AZ40-1)/4)</f>
        <v/>
      </c>
      <c r="BA83">
        <f>IF(BA40="","",(BA40-1)/4)</f>
        <v/>
      </c>
      <c r="BB83">
        <f>IF(BB40="","",(BB40-1)/4)</f>
        <v/>
      </c>
    </row>
    <row r="84">
      <c r="A84" s="16" t="inlineStr">
        <is>
          <t>Q23_2</t>
        </is>
      </c>
      <c r="B84" s="16" t="inlineStr">
        <is>
          <t>노사협의회 활용성</t>
        </is>
      </c>
      <c r="C84" s="46">
        <f>가중치!$F$37</f>
        <v/>
      </c>
      <c r="E84">
        <f>IF(E41="","",(E41-1)/4)</f>
        <v/>
      </c>
      <c r="F84">
        <f>IF(F41="","",(F41-1)/4)</f>
        <v/>
      </c>
      <c r="G84">
        <f>IF(G41="","",(G41-1)/4)</f>
        <v/>
      </c>
      <c r="H84">
        <f>IF(H41="","",(H41-1)/4)</f>
        <v/>
      </c>
      <c r="I84">
        <f>IF(I41="","",(I41-1)/4)</f>
        <v/>
      </c>
      <c r="J84">
        <f>IF(J41="","",(J41-1)/4)</f>
        <v/>
      </c>
      <c r="K84">
        <f>IF(K41="","",(K41-1)/4)</f>
        <v/>
      </c>
      <c r="L84">
        <f>IF(L41="","",(L41-1)/4)</f>
        <v/>
      </c>
      <c r="M84">
        <f>IF(M41="","",(M41-1)/4)</f>
        <v/>
      </c>
      <c r="N84">
        <f>IF(N41="","",(N41-1)/4)</f>
        <v/>
      </c>
      <c r="O84">
        <f>IF(O41="","",(O41-1)/4)</f>
        <v/>
      </c>
      <c r="P84">
        <f>IF(P41="","",(P41-1)/4)</f>
        <v/>
      </c>
      <c r="Q84">
        <f>IF(Q41="","",(Q41-1)/4)</f>
        <v/>
      </c>
      <c r="R84">
        <f>IF(R41="","",(R41-1)/4)</f>
        <v/>
      </c>
      <c r="S84">
        <f>IF(S41="","",(S41-1)/4)</f>
        <v/>
      </c>
      <c r="T84">
        <f>IF(T41="","",(T41-1)/4)</f>
        <v/>
      </c>
      <c r="U84">
        <f>IF(U41="","",(U41-1)/4)</f>
        <v/>
      </c>
      <c r="V84">
        <f>IF(V41="","",(V41-1)/4)</f>
        <v/>
      </c>
      <c r="W84">
        <f>IF(W41="","",(W41-1)/4)</f>
        <v/>
      </c>
      <c r="X84">
        <f>IF(X41="","",(X41-1)/4)</f>
        <v/>
      </c>
      <c r="Y84">
        <f>IF(Y41="","",(Y41-1)/4)</f>
        <v/>
      </c>
      <c r="Z84">
        <f>IF(Z41="","",(Z41-1)/4)</f>
        <v/>
      </c>
      <c r="AA84">
        <f>IF(AA41="","",(AA41-1)/4)</f>
        <v/>
      </c>
      <c r="AB84">
        <f>IF(AB41="","",(AB41-1)/4)</f>
        <v/>
      </c>
      <c r="AC84">
        <f>IF(AC41="","",(AC41-1)/4)</f>
        <v/>
      </c>
      <c r="AD84">
        <f>IF(AD41="","",(AD41-1)/4)</f>
        <v/>
      </c>
      <c r="AE84">
        <f>IF(AE41="","",(AE41-1)/4)</f>
        <v/>
      </c>
      <c r="AF84">
        <f>IF(AF41="","",(AF41-1)/4)</f>
        <v/>
      </c>
      <c r="AG84">
        <f>IF(AG41="","",(AG41-1)/4)</f>
        <v/>
      </c>
      <c r="AH84">
        <f>IF(AH41="","",(AH41-1)/4)</f>
        <v/>
      </c>
      <c r="AI84">
        <f>IF(AI41="","",(AI41-1)/4)</f>
        <v/>
      </c>
      <c r="AJ84">
        <f>IF(AJ41="","",(AJ41-1)/4)</f>
        <v/>
      </c>
      <c r="AK84">
        <f>IF(AK41="","",(AK41-1)/4)</f>
        <v/>
      </c>
      <c r="AL84">
        <f>IF(AL41="","",(AL41-1)/4)</f>
        <v/>
      </c>
      <c r="AM84">
        <f>IF(AM41="","",(AM41-1)/4)</f>
        <v/>
      </c>
      <c r="AN84">
        <f>IF(AN41="","",(AN41-1)/4)</f>
        <v/>
      </c>
      <c r="AO84">
        <f>IF(AO41="","",(AO41-1)/4)</f>
        <v/>
      </c>
      <c r="AP84">
        <f>IF(AP41="","",(AP41-1)/4)</f>
        <v/>
      </c>
      <c r="AQ84">
        <f>IF(AQ41="","",(AQ41-1)/4)</f>
        <v/>
      </c>
      <c r="AR84">
        <f>IF(AR41="","",(AR41-1)/4)</f>
        <v/>
      </c>
      <c r="AS84">
        <f>IF(AS41="","",(AS41-1)/4)</f>
        <v/>
      </c>
      <c r="AT84">
        <f>IF(AT41="","",(AT41-1)/4)</f>
        <v/>
      </c>
      <c r="AU84">
        <f>IF(AU41="","",(AU41-1)/4)</f>
        <v/>
      </c>
      <c r="AV84">
        <f>IF(AV41="","",(AV41-1)/4)</f>
        <v/>
      </c>
      <c r="AW84">
        <f>IF(AW41="","",(AW41-1)/4)</f>
        <v/>
      </c>
      <c r="AX84">
        <f>IF(AX41="","",(AX41-1)/4)</f>
        <v/>
      </c>
      <c r="AY84">
        <f>IF(AY41="","",(AY41-1)/4)</f>
        <v/>
      </c>
      <c r="AZ84">
        <f>IF(AZ41="","",(AZ41-1)/4)</f>
        <v/>
      </c>
      <c r="BA84">
        <f>IF(BA41="","",(BA41-1)/4)</f>
        <v/>
      </c>
      <c r="BB84">
        <f>IF(BB41="","",(BB41-1)/4)</f>
        <v/>
      </c>
    </row>
    <row r="85">
      <c r="A85" s="16" t="inlineStr">
        <is>
          <t>Q23_3</t>
        </is>
      </c>
      <c r="B85" s="16" t="inlineStr">
        <is>
          <t>노사협의회 활용성</t>
        </is>
      </c>
      <c r="C85" s="46">
        <f>가중치!$F$38</f>
        <v/>
      </c>
      <c r="E85">
        <f>IF(E42="","",(E42-1)/4)</f>
        <v/>
      </c>
      <c r="F85">
        <f>IF(F42="","",(F42-1)/4)</f>
        <v/>
      </c>
      <c r="G85">
        <f>IF(G42="","",(G42-1)/4)</f>
        <v/>
      </c>
      <c r="H85">
        <f>IF(H42="","",(H42-1)/4)</f>
        <v/>
      </c>
      <c r="I85">
        <f>IF(I42="","",(I42-1)/4)</f>
        <v/>
      </c>
      <c r="J85">
        <f>IF(J42="","",(J42-1)/4)</f>
        <v/>
      </c>
      <c r="K85">
        <f>IF(K42="","",(K42-1)/4)</f>
        <v/>
      </c>
      <c r="L85">
        <f>IF(L42="","",(L42-1)/4)</f>
        <v/>
      </c>
      <c r="M85">
        <f>IF(M42="","",(M42-1)/4)</f>
        <v/>
      </c>
      <c r="N85">
        <f>IF(N42="","",(N42-1)/4)</f>
        <v/>
      </c>
      <c r="O85">
        <f>IF(O42="","",(O42-1)/4)</f>
        <v/>
      </c>
      <c r="P85">
        <f>IF(P42="","",(P42-1)/4)</f>
        <v/>
      </c>
      <c r="Q85">
        <f>IF(Q42="","",(Q42-1)/4)</f>
        <v/>
      </c>
      <c r="R85">
        <f>IF(R42="","",(R42-1)/4)</f>
        <v/>
      </c>
      <c r="S85">
        <f>IF(S42="","",(S42-1)/4)</f>
        <v/>
      </c>
      <c r="T85">
        <f>IF(T42="","",(T42-1)/4)</f>
        <v/>
      </c>
      <c r="U85">
        <f>IF(U42="","",(U42-1)/4)</f>
        <v/>
      </c>
      <c r="V85">
        <f>IF(V42="","",(V42-1)/4)</f>
        <v/>
      </c>
      <c r="W85">
        <f>IF(W42="","",(W42-1)/4)</f>
        <v/>
      </c>
      <c r="X85">
        <f>IF(X42="","",(X42-1)/4)</f>
        <v/>
      </c>
      <c r="Y85">
        <f>IF(Y42="","",(Y42-1)/4)</f>
        <v/>
      </c>
      <c r="Z85">
        <f>IF(Z42="","",(Z42-1)/4)</f>
        <v/>
      </c>
      <c r="AA85">
        <f>IF(AA42="","",(AA42-1)/4)</f>
        <v/>
      </c>
      <c r="AB85">
        <f>IF(AB42="","",(AB42-1)/4)</f>
        <v/>
      </c>
      <c r="AC85">
        <f>IF(AC42="","",(AC42-1)/4)</f>
        <v/>
      </c>
      <c r="AD85">
        <f>IF(AD42="","",(AD42-1)/4)</f>
        <v/>
      </c>
      <c r="AE85">
        <f>IF(AE42="","",(AE42-1)/4)</f>
        <v/>
      </c>
      <c r="AF85">
        <f>IF(AF42="","",(AF42-1)/4)</f>
        <v/>
      </c>
      <c r="AG85">
        <f>IF(AG42="","",(AG42-1)/4)</f>
        <v/>
      </c>
      <c r="AH85">
        <f>IF(AH42="","",(AH42-1)/4)</f>
        <v/>
      </c>
      <c r="AI85">
        <f>IF(AI42="","",(AI42-1)/4)</f>
        <v/>
      </c>
      <c r="AJ85">
        <f>IF(AJ42="","",(AJ42-1)/4)</f>
        <v/>
      </c>
      <c r="AK85">
        <f>IF(AK42="","",(AK42-1)/4)</f>
        <v/>
      </c>
      <c r="AL85">
        <f>IF(AL42="","",(AL42-1)/4)</f>
        <v/>
      </c>
      <c r="AM85">
        <f>IF(AM42="","",(AM42-1)/4)</f>
        <v/>
      </c>
      <c r="AN85">
        <f>IF(AN42="","",(AN42-1)/4)</f>
        <v/>
      </c>
      <c r="AO85">
        <f>IF(AO42="","",(AO42-1)/4)</f>
        <v/>
      </c>
      <c r="AP85">
        <f>IF(AP42="","",(AP42-1)/4)</f>
        <v/>
      </c>
      <c r="AQ85">
        <f>IF(AQ42="","",(AQ42-1)/4)</f>
        <v/>
      </c>
      <c r="AR85">
        <f>IF(AR42="","",(AR42-1)/4)</f>
        <v/>
      </c>
      <c r="AS85">
        <f>IF(AS42="","",(AS42-1)/4)</f>
        <v/>
      </c>
      <c r="AT85">
        <f>IF(AT42="","",(AT42-1)/4)</f>
        <v/>
      </c>
      <c r="AU85">
        <f>IF(AU42="","",(AU42-1)/4)</f>
        <v/>
      </c>
      <c r="AV85">
        <f>IF(AV42="","",(AV42-1)/4)</f>
        <v/>
      </c>
      <c r="AW85">
        <f>IF(AW42="","",(AW42-1)/4)</f>
        <v/>
      </c>
      <c r="AX85">
        <f>IF(AX42="","",(AX42-1)/4)</f>
        <v/>
      </c>
      <c r="AY85">
        <f>IF(AY42="","",(AY42-1)/4)</f>
        <v/>
      </c>
      <c r="AZ85">
        <f>IF(AZ42="","",(AZ42-1)/4)</f>
        <v/>
      </c>
      <c r="BA85">
        <f>IF(BA42="","",(BA42-1)/4)</f>
        <v/>
      </c>
      <c r="BB85">
        <f>IF(BB42="","",(BB42-1)/4)</f>
        <v/>
      </c>
    </row>
    <row r="86">
      <c r="A86" s="16" t="inlineStr">
        <is>
          <t>Q23_4</t>
        </is>
      </c>
      <c r="B86" s="16" t="inlineStr">
        <is>
          <t>노사협의회 활용성</t>
        </is>
      </c>
      <c r="C86" s="46">
        <f>가중치!$F$39</f>
        <v/>
      </c>
      <c r="E86">
        <f>IF(E43="","",(E43-1)/4)</f>
        <v/>
      </c>
      <c r="F86">
        <f>IF(F43="","",(F43-1)/4)</f>
        <v/>
      </c>
      <c r="G86">
        <f>IF(G43="","",(G43-1)/4)</f>
        <v/>
      </c>
      <c r="H86">
        <f>IF(H43="","",(H43-1)/4)</f>
        <v/>
      </c>
      <c r="I86">
        <f>IF(I43="","",(I43-1)/4)</f>
        <v/>
      </c>
      <c r="J86">
        <f>IF(J43="","",(J43-1)/4)</f>
        <v/>
      </c>
      <c r="K86">
        <f>IF(K43="","",(K43-1)/4)</f>
        <v/>
      </c>
      <c r="L86">
        <f>IF(L43="","",(L43-1)/4)</f>
        <v/>
      </c>
      <c r="M86">
        <f>IF(M43="","",(M43-1)/4)</f>
        <v/>
      </c>
      <c r="N86">
        <f>IF(N43="","",(N43-1)/4)</f>
        <v/>
      </c>
      <c r="O86">
        <f>IF(O43="","",(O43-1)/4)</f>
        <v/>
      </c>
      <c r="P86">
        <f>IF(P43="","",(P43-1)/4)</f>
        <v/>
      </c>
      <c r="Q86">
        <f>IF(Q43="","",(Q43-1)/4)</f>
        <v/>
      </c>
      <c r="R86">
        <f>IF(R43="","",(R43-1)/4)</f>
        <v/>
      </c>
      <c r="S86">
        <f>IF(S43="","",(S43-1)/4)</f>
        <v/>
      </c>
      <c r="T86">
        <f>IF(T43="","",(T43-1)/4)</f>
        <v/>
      </c>
      <c r="U86">
        <f>IF(U43="","",(U43-1)/4)</f>
        <v/>
      </c>
      <c r="V86">
        <f>IF(V43="","",(V43-1)/4)</f>
        <v/>
      </c>
      <c r="W86">
        <f>IF(W43="","",(W43-1)/4)</f>
        <v/>
      </c>
      <c r="X86">
        <f>IF(X43="","",(X43-1)/4)</f>
        <v/>
      </c>
      <c r="Y86">
        <f>IF(Y43="","",(Y43-1)/4)</f>
        <v/>
      </c>
      <c r="Z86">
        <f>IF(Z43="","",(Z43-1)/4)</f>
        <v/>
      </c>
      <c r="AA86">
        <f>IF(AA43="","",(AA43-1)/4)</f>
        <v/>
      </c>
      <c r="AB86">
        <f>IF(AB43="","",(AB43-1)/4)</f>
        <v/>
      </c>
      <c r="AC86">
        <f>IF(AC43="","",(AC43-1)/4)</f>
        <v/>
      </c>
      <c r="AD86">
        <f>IF(AD43="","",(AD43-1)/4)</f>
        <v/>
      </c>
      <c r="AE86">
        <f>IF(AE43="","",(AE43-1)/4)</f>
        <v/>
      </c>
      <c r="AF86">
        <f>IF(AF43="","",(AF43-1)/4)</f>
        <v/>
      </c>
      <c r="AG86">
        <f>IF(AG43="","",(AG43-1)/4)</f>
        <v/>
      </c>
      <c r="AH86">
        <f>IF(AH43="","",(AH43-1)/4)</f>
        <v/>
      </c>
      <c r="AI86">
        <f>IF(AI43="","",(AI43-1)/4)</f>
        <v/>
      </c>
      <c r="AJ86">
        <f>IF(AJ43="","",(AJ43-1)/4)</f>
        <v/>
      </c>
      <c r="AK86">
        <f>IF(AK43="","",(AK43-1)/4)</f>
        <v/>
      </c>
      <c r="AL86">
        <f>IF(AL43="","",(AL43-1)/4)</f>
        <v/>
      </c>
      <c r="AM86">
        <f>IF(AM43="","",(AM43-1)/4)</f>
        <v/>
      </c>
      <c r="AN86">
        <f>IF(AN43="","",(AN43-1)/4)</f>
        <v/>
      </c>
      <c r="AO86">
        <f>IF(AO43="","",(AO43-1)/4)</f>
        <v/>
      </c>
      <c r="AP86">
        <f>IF(AP43="","",(AP43-1)/4)</f>
        <v/>
      </c>
      <c r="AQ86">
        <f>IF(AQ43="","",(AQ43-1)/4)</f>
        <v/>
      </c>
      <c r="AR86">
        <f>IF(AR43="","",(AR43-1)/4)</f>
        <v/>
      </c>
      <c r="AS86">
        <f>IF(AS43="","",(AS43-1)/4)</f>
        <v/>
      </c>
      <c r="AT86">
        <f>IF(AT43="","",(AT43-1)/4)</f>
        <v/>
      </c>
      <c r="AU86">
        <f>IF(AU43="","",(AU43-1)/4)</f>
        <v/>
      </c>
      <c r="AV86">
        <f>IF(AV43="","",(AV43-1)/4)</f>
        <v/>
      </c>
      <c r="AW86">
        <f>IF(AW43="","",(AW43-1)/4)</f>
        <v/>
      </c>
      <c r="AX86">
        <f>IF(AX43="","",(AX43-1)/4)</f>
        <v/>
      </c>
      <c r="AY86">
        <f>IF(AY43="","",(AY43-1)/4)</f>
        <v/>
      </c>
      <c r="AZ86">
        <f>IF(AZ43="","",(AZ43-1)/4)</f>
        <v/>
      </c>
      <c r="BA86">
        <f>IF(BA43="","",(BA43-1)/4)</f>
        <v/>
      </c>
      <c r="BB86">
        <f>IF(BB43="","",(BB43-1)/4)</f>
        <v/>
      </c>
    </row>
    <row r="87">
      <c r="A87" s="16" t="inlineStr">
        <is>
          <t>Q23_5</t>
        </is>
      </c>
      <c r="B87" s="16" t="inlineStr">
        <is>
          <t>노사협의회 활용성</t>
        </is>
      </c>
      <c r="C87" s="46">
        <f>가중치!$F$40</f>
        <v/>
      </c>
      <c r="E87">
        <f>IF(E44="","",(E44-1)/4)</f>
        <v/>
      </c>
      <c r="F87">
        <f>IF(F44="","",(F44-1)/4)</f>
        <v/>
      </c>
      <c r="G87">
        <f>IF(G44="","",(G44-1)/4)</f>
        <v/>
      </c>
      <c r="H87">
        <f>IF(H44="","",(H44-1)/4)</f>
        <v/>
      </c>
      <c r="I87">
        <f>IF(I44="","",(I44-1)/4)</f>
        <v/>
      </c>
      <c r="J87">
        <f>IF(J44="","",(J44-1)/4)</f>
        <v/>
      </c>
      <c r="K87">
        <f>IF(K44="","",(K44-1)/4)</f>
        <v/>
      </c>
      <c r="L87">
        <f>IF(L44="","",(L44-1)/4)</f>
        <v/>
      </c>
      <c r="M87">
        <f>IF(M44="","",(M44-1)/4)</f>
        <v/>
      </c>
      <c r="N87">
        <f>IF(N44="","",(N44-1)/4)</f>
        <v/>
      </c>
      <c r="O87">
        <f>IF(O44="","",(O44-1)/4)</f>
        <v/>
      </c>
      <c r="P87">
        <f>IF(P44="","",(P44-1)/4)</f>
        <v/>
      </c>
      <c r="Q87">
        <f>IF(Q44="","",(Q44-1)/4)</f>
        <v/>
      </c>
      <c r="R87">
        <f>IF(R44="","",(R44-1)/4)</f>
        <v/>
      </c>
      <c r="S87">
        <f>IF(S44="","",(S44-1)/4)</f>
        <v/>
      </c>
      <c r="T87">
        <f>IF(T44="","",(T44-1)/4)</f>
        <v/>
      </c>
      <c r="U87">
        <f>IF(U44="","",(U44-1)/4)</f>
        <v/>
      </c>
      <c r="V87">
        <f>IF(V44="","",(V44-1)/4)</f>
        <v/>
      </c>
      <c r="W87">
        <f>IF(W44="","",(W44-1)/4)</f>
        <v/>
      </c>
      <c r="X87">
        <f>IF(X44="","",(X44-1)/4)</f>
        <v/>
      </c>
      <c r="Y87">
        <f>IF(Y44="","",(Y44-1)/4)</f>
        <v/>
      </c>
      <c r="Z87">
        <f>IF(Z44="","",(Z44-1)/4)</f>
        <v/>
      </c>
      <c r="AA87">
        <f>IF(AA44="","",(AA44-1)/4)</f>
        <v/>
      </c>
      <c r="AB87">
        <f>IF(AB44="","",(AB44-1)/4)</f>
        <v/>
      </c>
      <c r="AC87">
        <f>IF(AC44="","",(AC44-1)/4)</f>
        <v/>
      </c>
      <c r="AD87">
        <f>IF(AD44="","",(AD44-1)/4)</f>
        <v/>
      </c>
      <c r="AE87">
        <f>IF(AE44="","",(AE44-1)/4)</f>
        <v/>
      </c>
      <c r="AF87">
        <f>IF(AF44="","",(AF44-1)/4)</f>
        <v/>
      </c>
      <c r="AG87">
        <f>IF(AG44="","",(AG44-1)/4)</f>
        <v/>
      </c>
      <c r="AH87">
        <f>IF(AH44="","",(AH44-1)/4)</f>
        <v/>
      </c>
      <c r="AI87">
        <f>IF(AI44="","",(AI44-1)/4)</f>
        <v/>
      </c>
      <c r="AJ87">
        <f>IF(AJ44="","",(AJ44-1)/4)</f>
        <v/>
      </c>
      <c r="AK87">
        <f>IF(AK44="","",(AK44-1)/4)</f>
        <v/>
      </c>
      <c r="AL87">
        <f>IF(AL44="","",(AL44-1)/4)</f>
        <v/>
      </c>
      <c r="AM87">
        <f>IF(AM44="","",(AM44-1)/4)</f>
        <v/>
      </c>
      <c r="AN87">
        <f>IF(AN44="","",(AN44-1)/4)</f>
        <v/>
      </c>
      <c r="AO87">
        <f>IF(AO44="","",(AO44-1)/4)</f>
        <v/>
      </c>
      <c r="AP87">
        <f>IF(AP44="","",(AP44-1)/4)</f>
        <v/>
      </c>
      <c r="AQ87">
        <f>IF(AQ44="","",(AQ44-1)/4)</f>
        <v/>
      </c>
      <c r="AR87">
        <f>IF(AR44="","",(AR44-1)/4)</f>
        <v/>
      </c>
      <c r="AS87">
        <f>IF(AS44="","",(AS44-1)/4)</f>
        <v/>
      </c>
      <c r="AT87">
        <f>IF(AT44="","",(AT44-1)/4)</f>
        <v/>
      </c>
      <c r="AU87">
        <f>IF(AU44="","",(AU44-1)/4)</f>
        <v/>
      </c>
      <c r="AV87">
        <f>IF(AV44="","",(AV44-1)/4)</f>
        <v/>
      </c>
      <c r="AW87">
        <f>IF(AW44="","",(AW44-1)/4)</f>
        <v/>
      </c>
      <c r="AX87">
        <f>IF(AX44="","",(AX44-1)/4)</f>
        <v/>
      </c>
      <c r="AY87">
        <f>IF(AY44="","",(AY44-1)/4)</f>
        <v/>
      </c>
      <c r="AZ87">
        <f>IF(AZ44="","",(AZ44-1)/4)</f>
        <v/>
      </c>
      <c r="BA87">
        <f>IF(BA44="","",(BA44-1)/4)</f>
        <v/>
      </c>
      <c r="BB87">
        <f>IF(BB44="","",(BB44-1)/4)</f>
        <v/>
      </c>
    </row>
    <row r="89">
      <c r="A89" s="42" t="inlineStr">
        <is>
          <t>③ 2023·24식 변환: 5점척도 x/5 · 문17 (미시행=1, 시행=활성화)/5 · 문18 미발생=1</t>
        </is>
      </c>
    </row>
    <row r="90">
      <c r="A90" s="16" t="inlineStr">
        <is>
          <t>Q16_1</t>
        </is>
      </c>
      <c r="B90" s="16" t="inlineStr">
        <is>
          <t>노사관계 전반 인식</t>
        </is>
      </c>
      <c r="C90" s="46">
        <f>가중치!$F$5</f>
        <v/>
      </c>
      <c r="E90">
        <f>IF(E8="","",E8/5)</f>
        <v/>
      </c>
      <c r="F90">
        <f>IF(F8="","",F8/5)</f>
        <v/>
      </c>
      <c r="G90">
        <f>IF(G8="","",G8/5)</f>
        <v/>
      </c>
      <c r="H90">
        <f>IF(H8="","",H8/5)</f>
        <v/>
      </c>
      <c r="I90">
        <f>IF(I8="","",I8/5)</f>
        <v/>
      </c>
      <c r="J90">
        <f>IF(J8="","",J8/5)</f>
        <v/>
      </c>
      <c r="K90">
        <f>IF(K8="","",K8/5)</f>
        <v/>
      </c>
      <c r="L90">
        <f>IF(L8="","",L8/5)</f>
        <v/>
      </c>
      <c r="M90">
        <f>IF(M8="","",M8/5)</f>
        <v/>
      </c>
      <c r="N90">
        <f>IF(N8="","",N8/5)</f>
        <v/>
      </c>
      <c r="O90">
        <f>IF(O8="","",O8/5)</f>
        <v/>
      </c>
      <c r="P90">
        <f>IF(P8="","",P8/5)</f>
        <v/>
      </c>
      <c r="Q90">
        <f>IF(Q8="","",Q8/5)</f>
        <v/>
      </c>
      <c r="R90">
        <f>IF(R8="","",R8/5)</f>
        <v/>
      </c>
      <c r="S90">
        <f>IF(S8="","",S8/5)</f>
        <v/>
      </c>
      <c r="T90">
        <f>IF(T8="","",T8/5)</f>
        <v/>
      </c>
      <c r="U90">
        <f>IF(U8="","",U8/5)</f>
        <v/>
      </c>
      <c r="V90">
        <f>IF(V8="","",V8/5)</f>
        <v/>
      </c>
      <c r="W90">
        <f>IF(W8="","",W8/5)</f>
        <v/>
      </c>
      <c r="X90">
        <f>IF(X8="","",X8/5)</f>
        <v/>
      </c>
      <c r="Y90">
        <f>IF(Y8="","",Y8/5)</f>
        <v/>
      </c>
      <c r="Z90">
        <f>IF(Z8="","",Z8/5)</f>
        <v/>
      </c>
      <c r="AA90">
        <f>IF(AA8="","",AA8/5)</f>
        <v/>
      </c>
      <c r="AB90">
        <f>IF(AB8="","",AB8/5)</f>
        <v/>
      </c>
      <c r="AC90">
        <f>IF(AC8="","",AC8/5)</f>
        <v/>
      </c>
      <c r="AD90">
        <f>IF(AD8="","",AD8/5)</f>
        <v/>
      </c>
      <c r="AE90">
        <f>IF(AE8="","",AE8/5)</f>
        <v/>
      </c>
      <c r="AF90">
        <f>IF(AF8="","",AF8/5)</f>
        <v/>
      </c>
      <c r="AG90">
        <f>IF(AG8="","",AG8/5)</f>
        <v/>
      </c>
      <c r="AH90">
        <f>IF(AH8="","",AH8/5)</f>
        <v/>
      </c>
      <c r="AI90">
        <f>IF(AI8="","",AI8/5)</f>
        <v/>
      </c>
      <c r="AJ90">
        <f>IF(AJ8="","",AJ8/5)</f>
        <v/>
      </c>
      <c r="AK90">
        <f>IF(AK8="","",AK8/5)</f>
        <v/>
      </c>
      <c r="AL90">
        <f>IF(AL8="","",AL8/5)</f>
        <v/>
      </c>
      <c r="AM90">
        <f>IF(AM8="","",AM8/5)</f>
        <v/>
      </c>
      <c r="AN90">
        <f>IF(AN8="","",AN8/5)</f>
        <v/>
      </c>
      <c r="AO90">
        <f>IF(AO8="","",AO8/5)</f>
        <v/>
      </c>
      <c r="AP90">
        <f>IF(AP8="","",AP8/5)</f>
        <v/>
      </c>
      <c r="AQ90">
        <f>IF(AQ8="","",AQ8/5)</f>
        <v/>
      </c>
      <c r="AR90">
        <f>IF(AR8="","",AR8/5)</f>
        <v/>
      </c>
      <c r="AS90">
        <f>IF(AS8="","",AS8/5)</f>
        <v/>
      </c>
      <c r="AT90">
        <f>IF(AT8="","",AT8/5)</f>
        <v/>
      </c>
      <c r="AU90">
        <f>IF(AU8="","",AU8/5)</f>
        <v/>
      </c>
      <c r="AV90">
        <f>IF(AV8="","",AV8/5)</f>
        <v/>
      </c>
      <c r="AW90">
        <f>IF(AW8="","",AW8/5)</f>
        <v/>
      </c>
      <c r="AX90">
        <f>IF(AX8="","",AX8/5)</f>
        <v/>
      </c>
      <c r="AY90">
        <f>IF(AY8="","",AY8/5)</f>
        <v/>
      </c>
      <c r="AZ90">
        <f>IF(AZ8="","",AZ8/5)</f>
        <v/>
      </c>
      <c r="BA90">
        <f>IF(BA8="","",BA8/5)</f>
        <v/>
      </c>
      <c r="BB90">
        <f>IF(BB8="","",BB8/5)</f>
        <v/>
      </c>
    </row>
    <row r="91">
      <c r="A91" s="16" t="inlineStr">
        <is>
          <t>Q16_2</t>
        </is>
      </c>
      <c r="B91" s="16" t="inlineStr">
        <is>
          <t>노사관계 전반 인식</t>
        </is>
      </c>
      <c r="C91" s="46">
        <f>가중치!$F$6</f>
        <v/>
      </c>
      <c r="E91">
        <f>IF(E9="","",E9/5)</f>
        <v/>
      </c>
      <c r="F91">
        <f>IF(F9="","",F9/5)</f>
        <v/>
      </c>
      <c r="G91">
        <f>IF(G9="","",G9/5)</f>
        <v/>
      </c>
      <c r="H91">
        <f>IF(H9="","",H9/5)</f>
        <v/>
      </c>
      <c r="I91">
        <f>IF(I9="","",I9/5)</f>
        <v/>
      </c>
      <c r="J91">
        <f>IF(J9="","",J9/5)</f>
        <v/>
      </c>
      <c r="K91">
        <f>IF(K9="","",K9/5)</f>
        <v/>
      </c>
      <c r="L91">
        <f>IF(L9="","",L9/5)</f>
        <v/>
      </c>
      <c r="M91">
        <f>IF(M9="","",M9/5)</f>
        <v/>
      </c>
      <c r="N91">
        <f>IF(N9="","",N9/5)</f>
        <v/>
      </c>
      <c r="O91">
        <f>IF(O9="","",O9/5)</f>
        <v/>
      </c>
      <c r="P91">
        <f>IF(P9="","",P9/5)</f>
        <v/>
      </c>
      <c r="Q91">
        <f>IF(Q9="","",Q9/5)</f>
        <v/>
      </c>
      <c r="R91">
        <f>IF(R9="","",R9/5)</f>
        <v/>
      </c>
      <c r="S91">
        <f>IF(S9="","",S9/5)</f>
        <v/>
      </c>
      <c r="T91">
        <f>IF(T9="","",T9/5)</f>
        <v/>
      </c>
      <c r="U91">
        <f>IF(U9="","",U9/5)</f>
        <v/>
      </c>
      <c r="V91">
        <f>IF(V9="","",V9/5)</f>
        <v/>
      </c>
      <c r="W91">
        <f>IF(W9="","",W9/5)</f>
        <v/>
      </c>
      <c r="X91">
        <f>IF(X9="","",X9/5)</f>
        <v/>
      </c>
      <c r="Y91">
        <f>IF(Y9="","",Y9/5)</f>
        <v/>
      </c>
      <c r="Z91">
        <f>IF(Z9="","",Z9/5)</f>
        <v/>
      </c>
      <c r="AA91">
        <f>IF(AA9="","",AA9/5)</f>
        <v/>
      </c>
      <c r="AB91">
        <f>IF(AB9="","",AB9/5)</f>
        <v/>
      </c>
      <c r="AC91">
        <f>IF(AC9="","",AC9/5)</f>
        <v/>
      </c>
      <c r="AD91">
        <f>IF(AD9="","",AD9/5)</f>
        <v/>
      </c>
      <c r="AE91">
        <f>IF(AE9="","",AE9/5)</f>
        <v/>
      </c>
      <c r="AF91">
        <f>IF(AF9="","",AF9/5)</f>
        <v/>
      </c>
      <c r="AG91">
        <f>IF(AG9="","",AG9/5)</f>
        <v/>
      </c>
      <c r="AH91">
        <f>IF(AH9="","",AH9/5)</f>
        <v/>
      </c>
      <c r="AI91">
        <f>IF(AI9="","",AI9/5)</f>
        <v/>
      </c>
      <c r="AJ91">
        <f>IF(AJ9="","",AJ9/5)</f>
        <v/>
      </c>
      <c r="AK91">
        <f>IF(AK9="","",AK9/5)</f>
        <v/>
      </c>
      <c r="AL91">
        <f>IF(AL9="","",AL9/5)</f>
        <v/>
      </c>
      <c r="AM91">
        <f>IF(AM9="","",AM9/5)</f>
        <v/>
      </c>
      <c r="AN91">
        <f>IF(AN9="","",AN9/5)</f>
        <v/>
      </c>
      <c r="AO91">
        <f>IF(AO9="","",AO9/5)</f>
        <v/>
      </c>
      <c r="AP91">
        <f>IF(AP9="","",AP9/5)</f>
        <v/>
      </c>
      <c r="AQ91">
        <f>IF(AQ9="","",AQ9/5)</f>
        <v/>
      </c>
      <c r="AR91">
        <f>IF(AR9="","",AR9/5)</f>
        <v/>
      </c>
      <c r="AS91">
        <f>IF(AS9="","",AS9/5)</f>
        <v/>
      </c>
      <c r="AT91">
        <f>IF(AT9="","",AT9/5)</f>
        <v/>
      </c>
      <c r="AU91">
        <f>IF(AU9="","",AU9/5)</f>
        <v/>
      </c>
      <c r="AV91">
        <f>IF(AV9="","",AV9/5)</f>
        <v/>
      </c>
      <c r="AW91">
        <f>IF(AW9="","",AW9/5)</f>
        <v/>
      </c>
      <c r="AX91">
        <f>IF(AX9="","",AX9/5)</f>
        <v/>
      </c>
      <c r="AY91">
        <f>IF(AY9="","",AY9/5)</f>
        <v/>
      </c>
      <c r="AZ91">
        <f>IF(AZ9="","",AZ9/5)</f>
        <v/>
      </c>
      <c r="BA91">
        <f>IF(BA9="","",BA9/5)</f>
        <v/>
      </c>
      <c r="BB91">
        <f>IF(BB9="","",BB9/5)</f>
        <v/>
      </c>
    </row>
    <row r="92">
      <c r="A92" s="16" t="inlineStr">
        <is>
          <t>Q16_3</t>
        </is>
      </c>
      <c r="B92" s="16" t="inlineStr">
        <is>
          <t>노사관계 전반 인식</t>
        </is>
      </c>
      <c r="C92" s="46">
        <f>가중치!$F$7</f>
        <v/>
      </c>
      <c r="E92">
        <f>IF(E10="","",E10/5)</f>
        <v/>
      </c>
      <c r="F92">
        <f>IF(F10="","",F10/5)</f>
        <v/>
      </c>
      <c r="G92">
        <f>IF(G10="","",G10/5)</f>
        <v/>
      </c>
      <c r="H92">
        <f>IF(H10="","",H10/5)</f>
        <v/>
      </c>
      <c r="I92">
        <f>IF(I10="","",I10/5)</f>
        <v/>
      </c>
      <c r="J92">
        <f>IF(J10="","",J10/5)</f>
        <v/>
      </c>
      <c r="K92">
        <f>IF(K10="","",K10/5)</f>
        <v/>
      </c>
      <c r="L92">
        <f>IF(L10="","",L10/5)</f>
        <v/>
      </c>
      <c r="M92">
        <f>IF(M10="","",M10/5)</f>
        <v/>
      </c>
      <c r="N92">
        <f>IF(N10="","",N10/5)</f>
        <v/>
      </c>
      <c r="O92">
        <f>IF(O10="","",O10/5)</f>
        <v/>
      </c>
      <c r="P92">
        <f>IF(P10="","",P10/5)</f>
        <v/>
      </c>
      <c r="Q92">
        <f>IF(Q10="","",Q10/5)</f>
        <v/>
      </c>
      <c r="R92">
        <f>IF(R10="","",R10/5)</f>
        <v/>
      </c>
      <c r="S92">
        <f>IF(S10="","",S10/5)</f>
        <v/>
      </c>
      <c r="T92">
        <f>IF(T10="","",T10/5)</f>
        <v/>
      </c>
      <c r="U92">
        <f>IF(U10="","",U10/5)</f>
        <v/>
      </c>
      <c r="V92">
        <f>IF(V10="","",V10/5)</f>
        <v/>
      </c>
      <c r="W92">
        <f>IF(W10="","",W10/5)</f>
        <v/>
      </c>
      <c r="X92">
        <f>IF(X10="","",X10/5)</f>
        <v/>
      </c>
      <c r="Y92">
        <f>IF(Y10="","",Y10/5)</f>
        <v/>
      </c>
      <c r="Z92">
        <f>IF(Z10="","",Z10/5)</f>
        <v/>
      </c>
      <c r="AA92">
        <f>IF(AA10="","",AA10/5)</f>
        <v/>
      </c>
      <c r="AB92">
        <f>IF(AB10="","",AB10/5)</f>
        <v/>
      </c>
      <c r="AC92">
        <f>IF(AC10="","",AC10/5)</f>
        <v/>
      </c>
      <c r="AD92">
        <f>IF(AD10="","",AD10/5)</f>
        <v/>
      </c>
      <c r="AE92">
        <f>IF(AE10="","",AE10/5)</f>
        <v/>
      </c>
      <c r="AF92">
        <f>IF(AF10="","",AF10/5)</f>
        <v/>
      </c>
      <c r="AG92">
        <f>IF(AG10="","",AG10/5)</f>
        <v/>
      </c>
      <c r="AH92">
        <f>IF(AH10="","",AH10/5)</f>
        <v/>
      </c>
      <c r="AI92">
        <f>IF(AI10="","",AI10/5)</f>
        <v/>
      </c>
      <c r="AJ92">
        <f>IF(AJ10="","",AJ10/5)</f>
        <v/>
      </c>
      <c r="AK92">
        <f>IF(AK10="","",AK10/5)</f>
        <v/>
      </c>
      <c r="AL92">
        <f>IF(AL10="","",AL10/5)</f>
        <v/>
      </c>
      <c r="AM92">
        <f>IF(AM10="","",AM10/5)</f>
        <v/>
      </c>
      <c r="AN92">
        <f>IF(AN10="","",AN10/5)</f>
        <v/>
      </c>
      <c r="AO92">
        <f>IF(AO10="","",AO10/5)</f>
        <v/>
      </c>
      <c r="AP92">
        <f>IF(AP10="","",AP10/5)</f>
        <v/>
      </c>
      <c r="AQ92">
        <f>IF(AQ10="","",AQ10/5)</f>
        <v/>
      </c>
      <c r="AR92">
        <f>IF(AR10="","",AR10/5)</f>
        <v/>
      </c>
      <c r="AS92">
        <f>IF(AS10="","",AS10/5)</f>
        <v/>
      </c>
      <c r="AT92">
        <f>IF(AT10="","",AT10/5)</f>
        <v/>
      </c>
      <c r="AU92">
        <f>IF(AU10="","",AU10/5)</f>
        <v/>
      </c>
      <c r="AV92">
        <f>IF(AV10="","",AV10/5)</f>
        <v/>
      </c>
      <c r="AW92">
        <f>IF(AW10="","",AW10/5)</f>
        <v/>
      </c>
      <c r="AX92">
        <f>IF(AX10="","",AX10/5)</f>
        <v/>
      </c>
      <c r="AY92">
        <f>IF(AY10="","",AY10/5)</f>
        <v/>
      </c>
      <c r="AZ92">
        <f>IF(AZ10="","",AZ10/5)</f>
        <v/>
      </c>
      <c r="BA92">
        <f>IF(BA10="","",BA10/5)</f>
        <v/>
      </c>
      <c r="BB92">
        <f>IF(BB10="","",BB10/5)</f>
        <v/>
      </c>
    </row>
    <row r="93">
      <c r="A93" s="16" t="inlineStr">
        <is>
          <t>Q16_4</t>
        </is>
      </c>
      <c r="B93" s="16" t="inlineStr">
        <is>
          <t>노사관계 전반 인식</t>
        </is>
      </c>
      <c r="C93" s="46">
        <f>가중치!$F$8</f>
        <v/>
      </c>
      <c r="E93">
        <f>IF(E11="","",E11/5)</f>
        <v/>
      </c>
      <c r="F93">
        <f>IF(F11="","",F11/5)</f>
        <v/>
      </c>
      <c r="G93">
        <f>IF(G11="","",G11/5)</f>
        <v/>
      </c>
      <c r="H93">
        <f>IF(H11="","",H11/5)</f>
        <v/>
      </c>
      <c r="I93">
        <f>IF(I11="","",I11/5)</f>
        <v/>
      </c>
      <c r="J93">
        <f>IF(J11="","",J11/5)</f>
        <v/>
      </c>
      <c r="K93">
        <f>IF(K11="","",K11/5)</f>
        <v/>
      </c>
      <c r="L93">
        <f>IF(L11="","",L11/5)</f>
        <v/>
      </c>
      <c r="M93">
        <f>IF(M11="","",M11/5)</f>
        <v/>
      </c>
      <c r="N93">
        <f>IF(N11="","",N11/5)</f>
        <v/>
      </c>
      <c r="O93">
        <f>IF(O11="","",O11/5)</f>
        <v/>
      </c>
      <c r="P93">
        <f>IF(P11="","",P11/5)</f>
        <v/>
      </c>
      <c r="Q93">
        <f>IF(Q11="","",Q11/5)</f>
        <v/>
      </c>
      <c r="R93">
        <f>IF(R11="","",R11/5)</f>
        <v/>
      </c>
      <c r="S93">
        <f>IF(S11="","",S11/5)</f>
        <v/>
      </c>
      <c r="T93">
        <f>IF(T11="","",T11/5)</f>
        <v/>
      </c>
      <c r="U93">
        <f>IF(U11="","",U11/5)</f>
        <v/>
      </c>
      <c r="V93">
        <f>IF(V11="","",V11/5)</f>
        <v/>
      </c>
      <c r="W93">
        <f>IF(W11="","",W11/5)</f>
        <v/>
      </c>
      <c r="X93">
        <f>IF(X11="","",X11/5)</f>
        <v/>
      </c>
      <c r="Y93">
        <f>IF(Y11="","",Y11/5)</f>
        <v/>
      </c>
      <c r="Z93">
        <f>IF(Z11="","",Z11/5)</f>
        <v/>
      </c>
      <c r="AA93">
        <f>IF(AA11="","",AA11/5)</f>
        <v/>
      </c>
      <c r="AB93">
        <f>IF(AB11="","",AB11/5)</f>
        <v/>
      </c>
      <c r="AC93">
        <f>IF(AC11="","",AC11/5)</f>
        <v/>
      </c>
      <c r="AD93">
        <f>IF(AD11="","",AD11/5)</f>
        <v/>
      </c>
      <c r="AE93">
        <f>IF(AE11="","",AE11/5)</f>
        <v/>
      </c>
      <c r="AF93">
        <f>IF(AF11="","",AF11/5)</f>
        <v/>
      </c>
      <c r="AG93">
        <f>IF(AG11="","",AG11/5)</f>
        <v/>
      </c>
      <c r="AH93">
        <f>IF(AH11="","",AH11/5)</f>
        <v/>
      </c>
      <c r="AI93">
        <f>IF(AI11="","",AI11/5)</f>
        <v/>
      </c>
      <c r="AJ93">
        <f>IF(AJ11="","",AJ11/5)</f>
        <v/>
      </c>
      <c r="AK93">
        <f>IF(AK11="","",AK11/5)</f>
        <v/>
      </c>
      <c r="AL93">
        <f>IF(AL11="","",AL11/5)</f>
        <v/>
      </c>
      <c r="AM93">
        <f>IF(AM11="","",AM11/5)</f>
        <v/>
      </c>
      <c r="AN93">
        <f>IF(AN11="","",AN11/5)</f>
        <v/>
      </c>
      <c r="AO93">
        <f>IF(AO11="","",AO11/5)</f>
        <v/>
      </c>
      <c r="AP93">
        <f>IF(AP11="","",AP11/5)</f>
        <v/>
      </c>
      <c r="AQ93">
        <f>IF(AQ11="","",AQ11/5)</f>
        <v/>
      </c>
      <c r="AR93">
        <f>IF(AR11="","",AR11/5)</f>
        <v/>
      </c>
      <c r="AS93">
        <f>IF(AS11="","",AS11/5)</f>
        <v/>
      </c>
      <c r="AT93">
        <f>IF(AT11="","",AT11/5)</f>
        <v/>
      </c>
      <c r="AU93">
        <f>IF(AU11="","",AU11/5)</f>
        <v/>
      </c>
      <c r="AV93">
        <f>IF(AV11="","",AV11/5)</f>
        <v/>
      </c>
      <c r="AW93">
        <f>IF(AW11="","",AW11/5)</f>
        <v/>
      </c>
      <c r="AX93">
        <f>IF(AX11="","",AX11/5)</f>
        <v/>
      </c>
      <c r="AY93">
        <f>IF(AY11="","",AY11/5)</f>
        <v/>
      </c>
      <c r="AZ93">
        <f>IF(AZ11="","",AZ11/5)</f>
        <v/>
      </c>
      <c r="BA93">
        <f>IF(BA11="","",BA11/5)</f>
        <v/>
      </c>
      <c r="BB93">
        <f>IF(BB11="","",BB11/5)</f>
        <v/>
      </c>
    </row>
    <row r="94">
      <c r="A94" s="16" t="inlineStr">
        <is>
          <t>Q24_1</t>
        </is>
      </c>
      <c r="B94" s="16" t="inlineStr">
        <is>
          <t>노조·근로자대표의 혁신 태도</t>
        </is>
      </c>
      <c r="C94" s="46">
        <f>가중치!$F$9</f>
        <v/>
      </c>
      <c r="E94">
        <f>IF(E45="","",E45/5)</f>
        <v/>
      </c>
      <c r="F94">
        <f>IF(F45="","",F45/5)</f>
        <v/>
      </c>
      <c r="G94">
        <f>IF(G45="","",G45/5)</f>
        <v/>
      </c>
      <c r="H94">
        <f>IF(H45="","",H45/5)</f>
        <v/>
      </c>
      <c r="I94">
        <f>IF(I45="","",I45/5)</f>
        <v/>
      </c>
      <c r="J94">
        <f>IF(J45="","",J45/5)</f>
        <v/>
      </c>
      <c r="K94">
        <f>IF(K45="","",K45/5)</f>
        <v/>
      </c>
      <c r="L94">
        <f>IF(L45="","",L45/5)</f>
        <v/>
      </c>
      <c r="M94">
        <f>IF(M45="","",M45/5)</f>
        <v/>
      </c>
      <c r="N94">
        <f>IF(N45="","",N45/5)</f>
        <v/>
      </c>
      <c r="O94">
        <f>IF(O45="","",O45/5)</f>
        <v/>
      </c>
      <c r="P94">
        <f>IF(P45="","",P45/5)</f>
        <v/>
      </c>
      <c r="Q94">
        <f>IF(Q45="","",Q45/5)</f>
        <v/>
      </c>
      <c r="R94">
        <f>IF(R45="","",R45/5)</f>
        <v/>
      </c>
      <c r="S94">
        <f>IF(S45="","",S45/5)</f>
        <v/>
      </c>
      <c r="T94">
        <f>IF(T45="","",T45/5)</f>
        <v/>
      </c>
      <c r="U94">
        <f>IF(U45="","",U45/5)</f>
        <v/>
      </c>
      <c r="V94">
        <f>IF(V45="","",V45/5)</f>
        <v/>
      </c>
      <c r="W94">
        <f>IF(W45="","",W45/5)</f>
        <v/>
      </c>
      <c r="X94">
        <f>IF(X45="","",X45/5)</f>
        <v/>
      </c>
      <c r="Y94">
        <f>IF(Y45="","",Y45/5)</f>
        <v/>
      </c>
      <c r="Z94">
        <f>IF(Z45="","",Z45/5)</f>
        <v/>
      </c>
      <c r="AA94">
        <f>IF(AA45="","",AA45/5)</f>
        <v/>
      </c>
      <c r="AB94">
        <f>IF(AB45="","",AB45/5)</f>
        <v/>
      </c>
      <c r="AC94">
        <f>IF(AC45="","",AC45/5)</f>
        <v/>
      </c>
      <c r="AD94">
        <f>IF(AD45="","",AD45/5)</f>
        <v/>
      </c>
      <c r="AE94">
        <f>IF(AE45="","",AE45/5)</f>
        <v/>
      </c>
      <c r="AF94">
        <f>IF(AF45="","",AF45/5)</f>
        <v/>
      </c>
      <c r="AG94">
        <f>IF(AG45="","",AG45/5)</f>
        <v/>
      </c>
      <c r="AH94">
        <f>IF(AH45="","",AH45/5)</f>
        <v/>
      </c>
      <c r="AI94">
        <f>IF(AI45="","",AI45/5)</f>
        <v/>
      </c>
      <c r="AJ94">
        <f>IF(AJ45="","",AJ45/5)</f>
        <v/>
      </c>
      <c r="AK94">
        <f>IF(AK45="","",AK45/5)</f>
        <v/>
      </c>
      <c r="AL94">
        <f>IF(AL45="","",AL45/5)</f>
        <v/>
      </c>
      <c r="AM94">
        <f>IF(AM45="","",AM45/5)</f>
        <v/>
      </c>
      <c r="AN94">
        <f>IF(AN45="","",AN45/5)</f>
        <v/>
      </c>
      <c r="AO94">
        <f>IF(AO45="","",AO45/5)</f>
        <v/>
      </c>
      <c r="AP94">
        <f>IF(AP45="","",AP45/5)</f>
        <v/>
      </c>
      <c r="AQ94">
        <f>IF(AQ45="","",AQ45/5)</f>
        <v/>
      </c>
      <c r="AR94">
        <f>IF(AR45="","",AR45/5)</f>
        <v/>
      </c>
      <c r="AS94">
        <f>IF(AS45="","",AS45/5)</f>
        <v/>
      </c>
      <c r="AT94">
        <f>IF(AT45="","",AT45/5)</f>
        <v/>
      </c>
      <c r="AU94">
        <f>IF(AU45="","",AU45/5)</f>
        <v/>
      </c>
      <c r="AV94">
        <f>IF(AV45="","",AV45/5)</f>
        <v/>
      </c>
      <c r="AW94">
        <f>IF(AW45="","",AW45/5)</f>
        <v/>
      </c>
      <c r="AX94">
        <f>IF(AX45="","",AX45/5)</f>
        <v/>
      </c>
      <c r="AY94">
        <f>IF(AY45="","",AY45/5)</f>
        <v/>
      </c>
      <c r="AZ94">
        <f>IF(AZ45="","",AZ45/5)</f>
        <v/>
      </c>
      <c r="BA94">
        <f>IF(BA45="","",BA45/5)</f>
        <v/>
      </c>
      <c r="BB94">
        <f>IF(BB45="","",BB45/5)</f>
        <v/>
      </c>
    </row>
    <row r="95">
      <c r="A95" s="16" t="inlineStr">
        <is>
          <t>Q24_2</t>
        </is>
      </c>
      <c r="B95" s="16" t="inlineStr">
        <is>
          <t>노조·근로자대표의 혁신 태도</t>
        </is>
      </c>
      <c r="C95" s="46">
        <f>가중치!$F$10</f>
        <v/>
      </c>
      <c r="E95">
        <f>IF(E46="","",E46/5)</f>
        <v/>
      </c>
      <c r="F95">
        <f>IF(F46="","",F46/5)</f>
        <v/>
      </c>
      <c r="G95">
        <f>IF(G46="","",G46/5)</f>
        <v/>
      </c>
      <c r="H95">
        <f>IF(H46="","",H46/5)</f>
        <v/>
      </c>
      <c r="I95">
        <f>IF(I46="","",I46/5)</f>
        <v/>
      </c>
      <c r="J95">
        <f>IF(J46="","",J46/5)</f>
        <v/>
      </c>
      <c r="K95">
        <f>IF(K46="","",K46/5)</f>
        <v/>
      </c>
      <c r="L95">
        <f>IF(L46="","",L46/5)</f>
        <v/>
      </c>
      <c r="M95">
        <f>IF(M46="","",M46/5)</f>
        <v/>
      </c>
      <c r="N95">
        <f>IF(N46="","",N46/5)</f>
        <v/>
      </c>
      <c r="O95">
        <f>IF(O46="","",O46/5)</f>
        <v/>
      </c>
      <c r="P95">
        <f>IF(P46="","",P46/5)</f>
        <v/>
      </c>
      <c r="Q95">
        <f>IF(Q46="","",Q46/5)</f>
        <v/>
      </c>
      <c r="R95">
        <f>IF(R46="","",R46/5)</f>
        <v/>
      </c>
      <c r="S95">
        <f>IF(S46="","",S46/5)</f>
        <v/>
      </c>
      <c r="T95">
        <f>IF(T46="","",T46/5)</f>
        <v/>
      </c>
      <c r="U95">
        <f>IF(U46="","",U46/5)</f>
        <v/>
      </c>
      <c r="V95">
        <f>IF(V46="","",V46/5)</f>
        <v/>
      </c>
      <c r="W95">
        <f>IF(W46="","",W46/5)</f>
        <v/>
      </c>
      <c r="X95">
        <f>IF(X46="","",X46/5)</f>
        <v/>
      </c>
      <c r="Y95">
        <f>IF(Y46="","",Y46/5)</f>
        <v/>
      </c>
      <c r="Z95">
        <f>IF(Z46="","",Z46/5)</f>
        <v/>
      </c>
      <c r="AA95">
        <f>IF(AA46="","",AA46/5)</f>
        <v/>
      </c>
      <c r="AB95">
        <f>IF(AB46="","",AB46/5)</f>
        <v/>
      </c>
      <c r="AC95">
        <f>IF(AC46="","",AC46/5)</f>
        <v/>
      </c>
      <c r="AD95">
        <f>IF(AD46="","",AD46/5)</f>
        <v/>
      </c>
      <c r="AE95">
        <f>IF(AE46="","",AE46/5)</f>
        <v/>
      </c>
      <c r="AF95">
        <f>IF(AF46="","",AF46/5)</f>
        <v/>
      </c>
      <c r="AG95">
        <f>IF(AG46="","",AG46/5)</f>
        <v/>
      </c>
      <c r="AH95">
        <f>IF(AH46="","",AH46/5)</f>
        <v/>
      </c>
      <c r="AI95">
        <f>IF(AI46="","",AI46/5)</f>
        <v/>
      </c>
      <c r="AJ95">
        <f>IF(AJ46="","",AJ46/5)</f>
        <v/>
      </c>
      <c r="AK95">
        <f>IF(AK46="","",AK46/5)</f>
        <v/>
      </c>
      <c r="AL95">
        <f>IF(AL46="","",AL46/5)</f>
        <v/>
      </c>
      <c r="AM95">
        <f>IF(AM46="","",AM46/5)</f>
        <v/>
      </c>
      <c r="AN95">
        <f>IF(AN46="","",AN46/5)</f>
        <v/>
      </c>
      <c r="AO95">
        <f>IF(AO46="","",AO46/5)</f>
        <v/>
      </c>
      <c r="AP95">
        <f>IF(AP46="","",AP46/5)</f>
        <v/>
      </c>
      <c r="AQ95">
        <f>IF(AQ46="","",AQ46/5)</f>
        <v/>
      </c>
      <c r="AR95">
        <f>IF(AR46="","",AR46/5)</f>
        <v/>
      </c>
      <c r="AS95">
        <f>IF(AS46="","",AS46/5)</f>
        <v/>
      </c>
      <c r="AT95">
        <f>IF(AT46="","",AT46/5)</f>
        <v/>
      </c>
      <c r="AU95">
        <f>IF(AU46="","",AU46/5)</f>
        <v/>
      </c>
      <c r="AV95">
        <f>IF(AV46="","",AV46/5)</f>
        <v/>
      </c>
      <c r="AW95">
        <f>IF(AW46="","",AW46/5)</f>
        <v/>
      </c>
      <c r="AX95">
        <f>IF(AX46="","",AX46/5)</f>
        <v/>
      </c>
      <c r="AY95">
        <f>IF(AY46="","",AY46/5)</f>
        <v/>
      </c>
      <c r="AZ95">
        <f>IF(AZ46="","",AZ46/5)</f>
        <v/>
      </c>
      <c r="BA95">
        <f>IF(BA46="","",BA46/5)</f>
        <v/>
      </c>
      <c r="BB95">
        <f>IF(BB46="","",BB46/5)</f>
        <v/>
      </c>
    </row>
    <row r="96">
      <c r="A96" s="16" t="inlineStr">
        <is>
          <t>Q24_3</t>
        </is>
      </c>
      <c r="B96" s="16" t="inlineStr">
        <is>
          <t>노조·근로자대표의 혁신 태도</t>
        </is>
      </c>
      <c r="C96" s="46">
        <f>가중치!$F$11</f>
        <v/>
      </c>
      <c r="E96">
        <f>IF(E47="","",E47/5)</f>
        <v/>
      </c>
      <c r="F96">
        <f>IF(F47="","",F47/5)</f>
        <v/>
      </c>
      <c r="G96">
        <f>IF(G47="","",G47/5)</f>
        <v/>
      </c>
      <c r="H96">
        <f>IF(H47="","",H47/5)</f>
        <v/>
      </c>
      <c r="I96">
        <f>IF(I47="","",I47/5)</f>
        <v/>
      </c>
      <c r="J96">
        <f>IF(J47="","",J47/5)</f>
        <v/>
      </c>
      <c r="K96">
        <f>IF(K47="","",K47/5)</f>
        <v/>
      </c>
      <c r="L96">
        <f>IF(L47="","",L47/5)</f>
        <v/>
      </c>
      <c r="M96">
        <f>IF(M47="","",M47/5)</f>
        <v/>
      </c>
      <c r="N96">
        <f>IF(N47="","",N47/5)</f>
        <v/>
      </c>
      <c r="O96">
        <f>IF(O47="","",O47/5)</f>
        <v/>
      </c>
      <c r="P96">
        <f>IF(P47="","",P47/5)</f>
        <v/>
      </c>
      <c r="Q96">
        <f>IF(Q47="","",Q47/5)</f>
        <v/>
      </c>
      <c r="R96">
        <f>IF(R47="","",R47/5)</f>
        <v/>
      </c>
      <c r="S96">
        <f>IF(S47="","",S47/5)</f>
        <v/>
      </c>
      <c r="T96">
        <f>IF(T47="","",T47/5)</f>
        <v/>
      </c>
      <c r="U96">
        <f>IF(U47="","",U47/5)</f>
        <v/>
      </c>
      <c r="V96">
        <f>IF(V47="","",V47/5)</f>
        <v/>
      </c>
      <c r="W96">
        <f>IF(W47="","",W47/5)</f>
        <v/>
      </c>
      <c r="X96">
        <f>IF(X47="","",X47/5)</f>
        <v/>
      </c>
      <c r="Y96">
        <f>IF(Y47="","",Y47/5)</f>
        <v/>
      </c>
      <c r="Z96">
        <f>IF(Z47="","",Z47/5)</f>
        <v/>
      </c>
      <c r="AA96">
        <f>IF(AA47="","",AA47/5)</f>
        <v/>
      </c>
      <c r="AB96">
        <f>IF(AB47="","",AB47/5)</f>
        <v/>
      </c>
      <c r="AC96">
        <f>IF(AC47="","",AC47/5)</f>
        <v/>
      </c>
      <c r="AD96">
        <f>IF(AD47="","",AD47/5)</f>
        <v/>
      </c>
      <c r="AE96">
        <f>IF(AE47="","",AE47/5)</f>
        <v/>
      </c>
      <c r="AF96">
        <f>IF(AF47="","",AF47/5)</f>
        <v/>
      </c>
      <c r="AG96">
        <f>IF(AG47="","",AG47/5)</f>
        <v/>
      </c>
      <c r="AH96">
        <f>IF(AH47="","",AH47/5)</f>
        <v/>
      </c>
      <c r="AI96">
        <f>IF(AI47="","",AI47/5)</f>
        <v/>
      </c>
      <c r="AJ96">
        <f>IF(AJ47="","",AJ47/5)</f>
        <v/>
      </c>
      <c r="AK96">
        <f>IF(AK47="","",AK47/5)</f>
        <v/>
      </c>
      <c r="AL96">
        <f>IF(AL47="","",AL47/5)</f>
        <v/>
      </c>
      <c r="AM96">
        <f>IF(AM47="","",AM47/5)</f>
        <v/>
      </c>
      <c r="AN96">
        <f>IF(AN47="","",AN47/5)</f>
        <v/>
      </c>
      <c r="AO96">
        <f>IF(AO47="","",AO47/5)</f>
        <v/>
      </c>
      <c r="AP96">
        <f>IF(AP47="","",AP47/5)</f>
        <v/>
      </c>
      <c r="AQ96">
        <f>IF(AQ47="","",AQ47/5)</f>
        <v/>
      </c>
      <c r="AR96">
        <f>IF(AR47="","",AR47/5)</f>
        <v/>
      </c>
      <c r="AS96">
        <f>IF(AS47="","",AS47/5)</f>
        <v/>
      </c>
      <c r="AT96">
        <f>IF(AT47="","",AT47/5)</f>
        <v/>
      </c>
      <c r="AU96">
        <f>IF(AU47="","",AU47/5)</f>
        <v/>
      </c>
      <c r="AV96">
        <f>IF(AV47="","",AV47/5)</f>
        <v/>
      </c>
      <c r="AW96">
        <f>IF(AW47="","",AW47/5)</f>
        <v/>
      </c>
      <c r="AX96">
        <f>IF(AX47="","",AX47/5)</f>
        <v/>
      </c>
      <c r="AY96">
        <f>IF(AY47="","",AY47/5)</f>
        <v/>
      </c>
      <c r="AZ96">
        <f>IF(AZ47="","",AZ47/5)</f>
        <v/>
      </c>
      <c r="BA96">
        <f>IF(BA47="","",BA47/5)</f>
        <v/>
      </c>
      <c r="BB96">
        <f>IF(BB47="","",BB47/5)</f>
        <v/>
      </c>
    </row>
    <row r="97">
      <c r="A97" s="16" t="inlineStr">
        <is>
          <t>Q24_4</t>
        </is>
      </c>
      <c r="B97" s="16" t="inlineStr">
        <is>
          <t>노조·근로자대표의 혁신 태도</t>
        </is>
      </c>
      <c r="C97" s="46">
        <f>가중치!$F$12</f>
        <v/>
      </c>
      <c r="E97">
        <f>IF(E48="","",E48/5)</f>
        <v/>
      </c>
      <c r="F97">
        <f>IF(F48="","",F48/5)</f>
        <v/>
      </c>
      <c r="G97">
        <f>IF(G48="","",G48/5)</f>
        <v/>
      </c>
      <c r="H97">
        <f>IF(H48="","",H48/5)</f>
        <v/>
      </c>
      <c r="I97">
        <f>IF(I48="","",I48/5)</f>
        <v/>
      </c>
      <c r="J97">
        <f>IF(J48="","",J48/5)</f>
        <v/>
      </c>
      <c r="K97">
        <f>IF(K48="","",K48/5)</f>
        <v/>
      </c>
      <c r="L97">
        <f>IF(L48="","",L48/5)</f>
        <v/>
      </c>
      <c r="M97">
        <f>IF(M48="","",M48/5)</f>
        <v/>
      </c>
      <c r="N97">
        <f>IF(N48="","",N48/5)</f>
        <v/>
      </c>
      <c r="O97">
        <f>IF(O48="","",O48/5)</f>
        <v/>
      </c>
      <c r="P97">
        <f>IF(P48="","",P48/5)</f>
        <v/>
      </c>
      <c r="Q97">
        <f>IF(Q48="","",Q48/5)</f>
        <v/>
      </c>
      <c r="R97">
        <f>IF(R48="","",R48/5)</f>
        <v/>
      </c>
      <c r="S97">
        <f>IF(S48="","",S48/5)</f>
        <v/>
      </c>
      <c r="T97">
        <f>IF(T48="","",T48/5)</f>
        <v/>
      </c>
      <c r="U97">
        <f>IF(U48="","",U48/5)</f>
        <v/>
      </c>
      <c r="V97">
        <f>IF(V48="","",V48/5)</f>
        <v/>
      </c>
      <c r="W97">
        <f>IF(W48="","",W48/5)</f>
        <v/>
      </c>
      <c r="X97">
        <f>IF(X48="","",X48/5)</f>
        <v/>
      </c>
      <c r="Y97">
        <f>IF(Y48="","",Y48/5)</f>
        <v/>
      </c>
      <c r="Z97">
        <f>IF(Z48="","",Z48/5)</f>
        <v/>
      </c>
      <c r="AA97">
        <f>IF(AA48="","",AA48/5)</f>
        <v/>
      </c>
      <c r="AB97">
        <f>IF(AB48="","",AB48/5)</f>
        <v/>
      </c>
      <c r="AC97">
        <f>IF(AC48="","",AC48/5)</f>
        <v/>
      </c>
      <c r="AD97">
        <f>IF(AD48="","",AD48/5)</f>
        <v/>
      </c>
      <c r="AE97">
        <f>IF(AE48="","",AE48/5)</f>
        <v/>
      </c>
      <c r="AF97">
        <f>IF(AF48="","",AF48/5)</f>
        <v/>
      </c>
      <c r="AG97">
        <f>IF(AG48="","",AG48/5)</f>
        <v/>
      </c>
      <c r="AH97">
        <f>IF(AH48="","",AH48/5)</f>
        <v/>
      </c>
      <c r="AI97">
        <f>IF(AI48="","",AI48/5)</f>
        <v/>
      </c>
      <c r="AJ97">
        <f>IF(AJ48="","",AJ48/5)</f>
        <v/>
      </c>
      <c r="AK97">
        <f>IF(AK48="","",AK48/5)</f>
        <v/>
      </c>
      <c r="AL97">
        <f>IF(AL48="","",AL48/5)</f>
        <v/>
      </c>
      <c r="AM97">
        <f>IF(AM48="","",AM48/5)</f>
        <v/>
      </c>
      <c r="AN97">
        <f>IF(AN48="","",AN48/5)</f>
        <v/>
      </c>
      <c r="AO97">
        <f>IF(AO48="","",AO48/5)</f>
        <v/>
      </c>
      <c r="AP97">
        <f>IF(AP48="","",AP48/5)</f>
        <v/>
      </c>
      <c r="AQ97">
        <f>IF(AQ48="","",AQ48/5)</f>
        <v/>
      </c>
      <c r="AR97">
        <f>IF(AR48="","",AR48/5)</f>
        <v/>
      </c>
      <c r="AS97">
        <f>IF(AS48="","",AS48/5)</f>
        <v/>
      </c>
      <c r="AT97">
        <f>IF(AT48="","",AT48/5)</f>
        <v/>
      </c>
      <c r="AU97">
        <f>IF(AU48="","",AU48/5)</f>
        <v/>
      </c>
      <c r="AV97">
        <f>IF(AV48="","",AV48/5)</f>
        <v/>
      </c>
      <c r="AW97">
        <f>IF(AW48="","",AW48/5)</f>
        <v/>
      </c>
      <c r="AX97">
        <f>IF(AX48="","",AX48/5)</f>
        <v/>
      </c>
      <c r="AY97">
        <f>IF(AY48="","",AY48/5)</f>
        <v/>
      </c>
      <c r="AZ97">
        <f>IF(AZ48="","",AZ48/5)</f>
        <v/>
      </c>
      <c r="BA97">
        <f>IF(BA48="","",BA48/5)</f>
        <v/>
      </c>
      <c r="BB97">
        <f>IF(BB48="","",BB48/5)</f>
        <v/>
      </c>
    </row>
    <row r="98">
      <c r="A98" s="16" t="inlineStr">
        <is>
          <t>Q24_5</t>
        </is>
      </c>
      <c r="B98" s="16" t="inlineStr">
        <is>
          <t>노조·근로자대표의 혁신 태도</t>
        </is>
      </c>
      <c r="C98" s="46">
        <f>가중치!$F$13</f>
        <v/>
      </c>
      <c r="E98">
        <f>IF(E49="","",E49/5)</f>
        <v/>
      </c>
      <c r="F98">
        <f>IF(F49="","",F49/5)</f>
        <v/>
      </c>
      <c r="G98">
        <f>IF(G49="","",G49/5)</f>
        <v/>
      </c>
      <c r="H98">
        <f>IF(H49="","",H49/5)</f>
        <v/>
      </c>
      <c r="I98">
        <f>IF(I49="","",I49/5)</f>
        <v/>
      </c>
      <c r="J98">
        <f>IF(J49="","",J49/5)</f>
        <v/>
      </c>
      <c r="K98">
        <f>IF(K49="","",K49/5)</f>
        <v/>
      </c>
      <c r="L98">
        <f>IF(L49="","",L49/5)</f>
        <v/>
      </c>
      <c r="M98">
        <f>IF(M49="","",M49/5)</f>
        <v/>
      </c>
      <c r="N98">
        <f>IF(N49="","",N49/5)</f>
        <v/>
      </c>
      <c r="O98">
        <f>IF(O49="","",O49/5)</f>
        <v/>
      </c>
      <c r="P98">
        <f>IF(P49="","",P49/5)</f>
        <v/>
      </c>
      <c r="Q98">
        <f>IF(Q49="","",Q49/5)</f>
        <v/>
      </c>
      <c r="R98">
        <f>IF(R49="","",R49/5)</f>
        <v/>
      </c>
      <c r="S98">
        <f>IF(S49="","",S49/5)</f>
        <v/>
      </c>
      <c r="T98">
        <f>IF(T49="","",T49/5)</f>
        <v/>
      </c>
      <c r="U98">
        <f>IF(U49="","",U49/5)</f>
        <v/>
      </c>
      <c r="V98">
        <f>IF(V49="","",V49/5)</f>
        <v/>
      </c>
      <c r="W98">
        <f>IF(W49="","",W49/5)</f>
        <v/>
      </c>
      <c r="X98">
        <f>IF(X49="","",X49/5)</f>
        <v/>
      </c>
      <c r="Y98">
        <f>IF(Y49="","",Y49/5)</f>
        <v/>
      </c>
      <c r="Z98">
        <f>IF(Z49="","",Z49/5)</f>
        <v/>
      </c>
      <c r="AA98">
        <f>IF(AA49="","",AA49/5)</f>
        <v/>
      </c>
      <c r="AB98">
        <f>IF(AB49="","",AB49/5)</f>
        <v/>
      </c>
      <c r="AC98">
        <f>IF(AC49="","",AC49/5)</f>
        <v/>
      </c>
      <c r="AD98">
        <f>IF(AD49="","",AD49/5)</f>
        <v/>
      </c>
      <c r="AE98">
        <f>IF(AE49="","",AE49/5)</f>
        <v/>
      </c>
      <c r="AF98">
        <f>IF(AF49="","",AF49/5)</f>
        <v/>
      </c>
      <c r="AG98">
        <f>IF(AG49="","",AG49/5)</f>
        <v/>
      </c>
      <c r="AH98">
        <f>IF(AH49="","",AH49/5)</f>
        <v/>
      </c>
      <c r="AI98">
        <f>IF(AI49="","",AI49/5)</f>
        <v/>
      </c>
      <c r="AJ98">
        <f>IF(AJ49="","",AJ49/5)</f>
        <v/>
      </c>
      <c r="AK98">
        <f>IF(AK49="","",AK49/5)</f>
        <v/>
      </c>
      <c r="AL98">
        <f>IF(AL49="","",AL49/5)</f>
        <v/>
      </c>
      <c r="AM98">
        <f>IF(AM49="","",AM49/5)</f>
        <v/>
      </c>
      <c r="AN98">
        <f>IF(AN49="","",AN49/5)</f>
        <v/>
      </c>
      <c r="AO98">
        <f>IF(AO49="","",AO49/5)</f>
        <v/>
      </c>
      <c r="AP98">
        <f>IF(AP49="","",AP49/5)</f>
        <v/>
      </c>
      <c r="AQ98">
        <f>IF(AQ49="","",AQ49/5)</f>
        <v/>
      </c>
      <c r="AR98">
        <f>IF(AR49="","",AR49/5)</f>
        <v/>
      </c>
      <c r="AS98">
        <f>IF(AS49="","",AS49/5)</f>
        <v/>
      </c>
      <c r="AT98">
        <f>IF(AT49="","",AT49/5)</f>
        <v/>
      </c>
      <c r="AU98">
        <f>IF(AU49="","",AU49/5)</f>
        <v/>
      </c>
      <c r="AV98">
        <f>IF(AV49="","",AV49/5)</f>
        <v/>
      </c>
      <c r="AW98">
        <f>IF(AW49="","",AW49/5)</f>
        <v/>
      </c>
      <c r="AX98">
        <f>IF(AX49="","",AX49/5)</f>
        <v/>
      </c>
      <c r="AY98">
        <f>IF(AY49="","",AY49/5)</f>
        <v/>
      </c>
      <c r="AZ98">
        <f>IF(AZ49="","",AZ49/5)</f>
        <v/>
      </c>
      <c r="BA98">
        <f>IF(BA49="","",BA49/5)</f>
        <v/>
      </c>
      <c r="BB98">
        <f>IF(BB49="","",BB49/5)</f>
        <v/>
      </c>
    </row>
    <row r="99">
      <c r="A99" s="16" t="inlineStr">
        <is>
          <t>Q17_1</t>
        </is>
      </c>
      <c r="B99" s="16" t="inlineStr">
        <is>
          <t>노사협력 프로그램</t>
        </is>
      </c>
      <c r="C99" s="46">
        <f>가중치!$F$14</f>
        <v/>
      </c>
      <c r="E99">
        <f>IF(E12="","",IF(E12=0,0.2,IF(E13="","",E13/5)))</f>
        <v/>
      </c>
      <c r="F99">
        <f>IF(F12="","",IF(F12=0,0.2,IF(F13="","",F13/5)))</f>
        <v/>
      </c>
      <c r="G99">
        <f>IF(G12="","",IF(G12=0,0.2,IF(G13="","",G13/5)))</f>
        <v/>
      </c>
      <c r="H99">
        <f>IF(H12="","",IF(H12=0,0.2,IF(H13="","",H13/5)))</f>
        <v/>
      </c>
      <c r="I99">
        <f>IF(I12="","",IF(I12=0,0.2,IF(I13="","",I13/5)))</f>
        <v/>
      </c>
      <c r="J99">
        <f>IF(J12="","",IF(J12=0,0.2,IF(J13="","",J13/5)))</f>
        <v/>
      </c>
      <c r="K99">
        <f>IF(K12="","",IF(K12=0,0.2,IF(K13="","",K13/5)))</f>
        <v/>
      </c>
      <c r="L99">
        <f>IF(L12="","",IF(L12=0,0.2,IF(L13="","",L13/5)))</f>
        <v/>
      </c>
      <c r="M99">
        <f>IF(M12="","",IF(M12=0,0.2,IF(M13="","",M13/5)))</f>
        <v/>
      </c>
      <c r="N99">
        <f>IF(N12="","",IF(N12=0,0.2,IF(N13="","",N13/5)))</f>
        <v/>
      </c>
      <c r="O99">
        <f>IF(O12="","",IF(O12=0,0.2,IF(O13="","",O13/5)))</f>
        <v/>
      </c>
      <c r="P99">
        <f>IF(P12="","",IF(P12=0,0.2,IF(P13="","",P13/5)))</f>
        <v/>
      </c>
      <c r="Q99">
        <f>IF(Q12="","",IF(Q12=0,0.2,IF(Q13="","",Q13/5)))</f>
        <v/>
      </c>
      <c r="R99">
        <f>IF(R12="","",IF(R12=0,0.2,IF(R13="","",R13/5)))</f>
        <v/>
      </c>
      <c r="S99">
        <f>IF(S12="","",IF(S12=0,0.2,IF(S13="","",S13/5)))</f>
        <v/>
      </c>
      <c r="T99">
        <f>IF(T12="","",IF(T12=0,0.2,IF(T13="","",T13/5)))</f>
        <v/>
      </c>
      <c r="U99">
        <f>IF(U12="","",IF(U12=0,0.2,IF(U13="","",U13/5)))</f>
        <v/>
      </c>
      <c r="V99">
        <f>IF(V12="","",IF(V12=0,0.2,IF(V13="","",V13/5)))</f>
        <v/>
      </c>
      <c r="W99">
        <f>IF(W12="","",IF(W12=0,0.2,IF(W13="","",W13/5)))</f>
        <v/>
      </c>
      <c r="X99">
        <f>IF(X12="","",IF(X12=0,0.2,IF(X13="","",X13/5)))</f>
        <v/>
      </c>
      <c r="Y99">
        <f>IF(Y12="","",IF(Y12=0,0.2,IF(Y13="","",Y13/5)))</f>
        <v/>
      </c>
      <c r="Z99">
        <f>IF(Z12="","",IF(Z12=0,0.2,IF(Z13="","",Z13/5)))</f>
        <v/>
      </c>
      <c r="AA99">
        <f>IF(AA12="","",IF(AA12=0,0.2,IF(AA13="","",AA13/5)))</f>
        <v/>
      </c>
      <c r="AB99">
        <f>IF(AB12="","",IF(AB12=0,0.2,IF(AB13="","",AB13/5)))</f>
        <v/>
      </c>
      <c r="AC99">
        <f>IF(AC12="","",IF(AC12=0,0.2,IF(AC13="","",AC13/5)))</f>
        <v/>
      </c>
      <c r="AD99">
        <f>IF(AD12="","",IF(AD12=0,0.2,IF(AD13="","",AD13/5)))</f>
        <v/>
      </c>
      <c r="AE99">
        <f>IF(AE12="","",IF(AE12=0,0.2,IF(AE13="","",AE13/5)))</f>
        <v/>
      </c>
      <c r="AF99">
        <f>IF(AF12="","",IF(AF12=0,0.2,IF(AF13="","",AF13/5)))</f>
        <v/>
      </c>
      <c r="AG99">
        <f>IF(AG12="","",IF(AG12=0,0.2,IF(AG13="","",AG13/5)))</f>
        <v/>
      </c>
      <c r="AH99">
        <f>IF(AH12="","",IF(AH12=0,0.2,IF(AH13="","",AH13/5)))</f>
        <v/>
      </c>
      <c r="AI99">
        <f>IF(AI12="","",IF(AI12=0,0.2,IF(AI13="","",AI13/5)))</f>
        <v/>
      </c>
      <c r="AJ99">
        <f>IF(AJ12="","",IF(AJ12=0,0.2,IF(AJ13="","",AJ13/5)))</f>
        <v/>
      </c>
      <c r="AK99">
        <f>IF(AK12="","",IF(AK12=0,0.2,IF(AK13="","",AK13/5)))</f>
        <v/>
      </c>
      <c r="AL99">
        <f>IF(AL12="","",IF(AL12=0,0.2,IF(AL13="","",AL13/5)))</f>
        <v/>
      </c>
      <c r="AM99">
        <f>IF(AM12="","",IF(AM12=0,0.2,IF(AM13="","",AM13/5)))</f>
        <v/>
      </c>
      <c r="AN99">
        <f>IF(AN12="","",IF(AN12=0,0.2,IF(AN13="","",AN13/5)))</f>
        <v/>
      </c>
      <c r="AO99">
        <f>IF(AO12="","",IF(AO12=0,0.2,IF(AO13="","",AO13/5)))</f>
        <v/>
      </c>
      <c r="AP99">
        <f>IF(AP12="","",IF(AP12=0,0.2,IF(AP13="","",AP13/5)))</f>
        <v/>
      </c>
      <c r="AQ99">
        <f>IF(AQ12="","",IF(AQ12=0,0.2,IF(AQ13="","",AQ13/5)))</f>
        <v/>
      </c>
      <c r="AR99">
        <f>IF(AR12="","",IF(AR12=0,0.2,IF(AR13="","",AR13/5)))</f>
        <v/>
      </c>
      <c r="AS99">
        <f>IF(AS12="","",IF(AS12=0,0.2,IF(AS13="","",AS13/5)))</f>
        <v/>
      </c>
      <c r="AT99">
        <f>IF(AT12="","",IF(AT12=0,0.2,IF(AT13="","",AT13/5)))</f>
        <v/>
      </c>
      <c r="AU99">
        <f>IF(AU12="","",IF(AU12=0,0.2,IF(AU13="","",AU13/5)))</f>
        <v/>
      </c>
      <c r="AV99">
        <f>IF(AV12="","",IF(AV12=0,0.2,IF(AV13="","",AV13/5)))</f>
        <v/>
      </c>
      <c r="AW99">
        <f>IF(AW12="","",IF(AW12=0,0.2,IF(AW13="","",AW13/5)))</f>
        <v/>
      </c>
      <c r="AX99">
        <f>IF(AX12="","",IF(AX12=0,0.2,IF(AX13="","",AX13/5)))</f>
        <v/>
      </c>
      <c r="AY99">
        <f>IF(AY12="","",IF(AY12=0,0.2,IF(AY13="","",AY13/5)))</f>
        <v/>
      </c>
      <c r="AZ99">
        <f>IF(AZ12="","",IF(AZ12=0,0.2,IF(AZ13="","",AZ13/5)))</f>
        <v/>
      </c>
      <c r="BA99">
        <f>IF(BA12="","",IF(BA12=0,0.2,IF(BA13="","",BA13/5)))</f>
        <v/>
      </c>
      <c r="BB99">
        <f>IF(BB12="","",IF(BB12=0,0.2,IF(BB13="","",BB13/5)))</f>
        <v/>
      </c>
    </row>
    <row r="100">
      <c r="A100" s="16" t="inlineStr">
        <is>
          <t>Q17_2</t>
        </is>
      </c>
      <c r="B100" s="16" t="inlineStr">
        <is>
          <t>노사협력 프로그램</t>
        </is>
      </c>
      <c r="C100" s="46">
        <f>가중치!$F$15</f>
        <v/>
      </c>
      <c r="E100">
        <f>IF(E14="","",IF(E14=0,0.2,IF(E15="","",E15/5)))</f>
        <v/>
      </c>
      <c r="F100">
        <f>IF(F14="","",IF(F14=0,0.2,IF(F15="","",F15/5)))</f>
        <v/>
      </c>
      <c r="G100">
        <f>IF(G14="","",IF(G14=0,0.2,IF(G15="","",G15/5)))</f>
        <v/>
      </c>
      <c r="H100">
        <f>IF(H14="","",IF(H14=0,0.2,IF(H15="","",H15/5)))</f>
        <v/>
      </c>
      <c r="I100">
        <f>IF(I14="","",IF(I14=0,0.2,IF(I15="","",I15/5)))</f>
        <v/>
      </c>
      <c r="J100">
        <f>IF(J14="","",IF(J14=0,0.2,IF(J15="","",J15/5)))</f>
        <v/>
      </c>
      <c r="K100">
        <f>IF(K14="","",IF(K14=0,0.2,IF(K15="","",K15/5)))</f>
        <v/>
      </c>
      <c r="L100">
        <f>IF(L14="","",IF(L14=0,0.2,IF(L15="","",L15/5)))</f>
        <v/>
      </c>
      <c r="M100">
        <f>IF(M14="","",IF(M14=0,0.2,IF(M15="","",M15/5)))</f>
        <v/>
      </c>
      <c r="N100">
        <f>IF(N14="","",IF(N14=0,0.2,IF(N15="","",N15/5)))</f>
        <v/>
      </c>
      <c r="O100">
        <f>IF(O14="","",IF(O14=0,0.2,IF(O15="","",O15/5)))</f>
        <v/>
      </c>
      <c r="P100">
        <f>IF(P14="","",IF(P14=0,0.2,IF(P15="","",P15/5)))</f>
        <v/>
      </c>
      <c r="Q100">
        <f>IF(Q14="","",IF(Q14=0,0.2,IF(Q15="","",Q15/5)))</f>
        <v/>
      </c>
      <c r="R100">
        <f>IF(R14="","",IF(R14=0,0.2,IF(R15="","",R15/5)))</f>
        <v/>
      </c>
      <c r="S100">
        <f>IF(S14="","",IF(S14=0,0.2,IF(S15="","",S15/5)))</f>
        <v/>
      </c>
      <c r="T100">
        <f>IF(T14="","",IF(T14=0,0.2,IF(T15="","",T15/5)))</f>
        <v/>
      </c>
      <c r="U100">
        <f>IF(U14="","",IF(U14=0,0.2,IF(U15="","",U15/5)))</f>
        <v/>
      </c>
      <c r="V100">
        <f>IF(V14="","",IF(V14=0,0.2,IF(V15="","",V15/5)))</f>
        <v/>
      </c>
      <c r="W100">
        <f>IF(W14="","",IF(W14=0,0.2,IF(W15="","",W15/5)))</f>
        <v/>
      </c>
      <c r="X100">
        <f>IF(X14="","",IF(X14=0,0.2,IF(X15="","",X15/5)))</f>
        <v/>
      </c>
      <c r="Y100">
        <f>IF(Y14="","",IF(Y14=0,0.2,IF(Y15="","",Y15/5)))</f>
        <v/>
      </c>
      <c r="Z100">
        <f>IF(Z14="","",IF(Z14=0,0.2,IF(Z15="","",Z15/5)))</f>
        <v/>
      </c>
      <c r="AA100">
        <f>IF(AA14="","",IF(AA14=0,0.2,IF(AA15="","",AA15/5)))</f>
        <v/>
      </c>
      <c r="AB100">
        <f>IF(AB14="","",IF(AB14=0,0.2,IF(AB15="","",AB15/5)))</f>
        <v/>
      </c>
      <c r="AC100">
        <f>IF(AC14="","",IF(AC14=0,0.2,IF(AC15="","",AC15/5)))</f>
        <v/>
      </c>
      <c r="AD100">
        <f>IF(AD14="","",IF(AD14=0,0.2,IF(AD15="","",AD15/5)))</f>
        <v/>
      </c>
      <c r="AE100">
        <f>IF(AE14="","",IF(AE14=0,0.2,IF(AE15="","",AE15/5)))</f>
        <v/>
      </c>
      <c r="AF100">
        <f>IF(AF14="","",IF(AF14=0,0.2,IF(AF15="","",AF15/5)))</f>
        <v/>
      </c>
      <c r="AG100">
        <f>IF(AG14="","",IF(AG14=0,0.2,IF(AG15="","",AG15/5)))</f>
        <v/>
      </c>
      <c r="AH100">
        <f>IF(AH14="","",IF(AH14=0,0.2,IF(AH15="","",AH15/5)))</f>
        <v/>
      </c>
      <c r="AI100">
        <f>IF(AI14="","",IF(AI14=0,0.2,IF(AI15="","",AI15/5)))</f>
        <v/>
      </c>
      <c r="AJ100">
        <f>IF(AJ14="","",IF(AJ14=0,0.2,IF(AJ15="","",AJ15/5)))</f>
        <v/>
      </c>
      <c r="AK100">
        <f>IF(AK14="","",IF(AK14=0,0.2,IF(AK15="","",AK15/5)))</f>
        <v/>
      </c>
      <c r="AL100">
        <f>IF(AL14="","",IF(AL14=0,0.2,IF(AL15="","",AL15/5)))</f>
        <v/>
      </c>
      <c r="AM100">
        <f>IF(AM14="","",IF(AM14=0,0.2,IF(AM15="","",AM15/5)))</f>
        <v/>
      </c>
      <c r="AN100">
        <f>IF(AN14="","",IF(AN14=0,0.2,IF(AN15="","",AN15/5)))</f>
        <v/>
      </c>
      <c r="AO100">
        <f>IF(AO14="","",IF(AO14=0,0.2,IF(AO15="","",AO15/5)))</f>
        <v/>
      </c>
      <c r="AP100">
        <f>IF(AP14="","",IF(AP14=0,0.2,IF(AP15="","",AP15/5)))</f>
        <v/>
      </c>
      <c r="AQ100">
        <f>IF(AQ14="","",IF(AQ14=0,0.2,IF(AQ15="","",AQ15/5)))</f>
        <v/>
      </c>
      <c r="AR100">
        <f>IF(AR14="","",IF(AR14=0,0.2,IF(AR15="","",AR15/5)))</f>
        <v/>
      </c>
      <c r="AS100">
        <f>IF(AS14="","",IF(AS14=0,0.2,IF(AS15="","",AS15/5)))</f>
        <v/>
      </c>
      <c r="AT100">
        <f>IF(AT14="","",IF(AT14=0,0.2,IF(AT15="","",AT15/5)))</f>
        <v/>
      </c>
      <c r="AU100">
        <f>IF(AU14="","",IF(AU14=0,0.2,IF(AU15="","",AU15/5)))</f>
        <v/>
      </c>
      <c r="AV100">
        <f>IF(AV14="","",IF(AV14=0,0.2,IF(AV15="","",AV15/5)))</f>
        <v/>
      </c>
      <c r="AW100">
        <f>IF(AW14="","",IF(AW14=0,0.2,IF(AW15="","",AW15/5)))</f>
        <v/>
      </c>
      <c r="AX100">
        <f>IF(AX14="","",IF(AX14=0,0.2,IF(AX15="","",AX15/5)))</f>
        <v/>
      </c>
      <c r="AY100">
        <f>IF(AY14="","",IF(AY14=0,0.2,IF(AY15="","",AY15/5)))</f>
        <v/>
      </c>
      <c r="AZ100">
        <f>IF(AZ14="","",IF(AZ14=0,0.2,IF(AZ15="","",AZ15/5)))</f>
        <v/>
      </c>
      <c r="BA100">
        <f>IF(BA14="","",IF(BA14=0,0.2,IF(BA15="","",BA15/5)))</f>
        <v/>
      </c>
      <c r="BB100">
        <f>IF(BB14="","",IF(BB14=0,0.2,IF(BB15="","",BB15/5)))</f>
        <v/>
      </c>
    </row>
    <row r="101">
      <c r="A101" s="16" t="inlineStr">
        <is>
          <t>Q17_3</t>
        </is>
      </c>
      <c r="B101" s="16" t="inlineStr">
        <is>
          <t>노사협력 프로그램</t>
        </is>
      </c>
      <c r="C101" s="46">
        <f>가중치!$F$16</f>
        <v/>
      </c>
      <c r="E101">
        <f>IF(E16="","",IF(E16=0,0.2,IF(E17="","",E17/5)))</f>
        <v/>
      </c>
      <c r="F101">
        <f>IF(F16="","",IF(F16=0,0.2,IF(F17="","",F17/5)))</f>
        <v/>
      </c>
      <c r="G101">
        <f>IF(G16="","",IF(G16=0,0.2,IF(G17="","",G17/5)))</f>
        <v/>
      </c>
      <c r="H101">
        <f>IF(H16="","",IF(H16=0,0.2,IF(H17="","",H17/5)))</f>
        <v/>
      </c>
      <c r="I101">
        <f>IF(I16="","",IF(I16=0,0.2,IF(I17="","",I17/5)))</f>
        <v/>
      </c>
      <c r="J101">
        <f>IF(J16="","",IF(J16=0,0.2,IF(J17="","",J17/5)))</f>
        <v/>
      </c>
      <c r="K101">
        <f>IF(K16="","",IF(K16=0,0.2,IF(K17="","",K17/5)))</f>
        <v/>
      </c>
      <c r="L101">
        <f>IF(L16="","",IF(L16=0,0.2,IF(L17="","",L17/5)))</f>
        <v/>
      </c>
      <c r="M101">
        <f>IF(M16="","",IF(M16=0,0.2,IF(M17="","",M17/5)))</f>
        <v/>
      </c>
      <c r="N101">
        <f>IF(N16="","",IF(N16=0,0.2,IF(N17="","",N17/5)))</f>
        <v/>
      </c>
      <c r="O101">
        <f>IF(O16="","",IF(O16=0,0.2,IF(O17="","",O17/5)))</f>
        <v/>
      </c>
      <c r="P101">
        <f>IF(P16="","",IF(P16=0,0.2,IF(P17="","",P17/5)))</f>
        <v/>
      </c>
      <c r="Q101">
        <f>IF(Q16="","",IF(Q16=0,0.2,IF(Q17="","",Q17/5)))</f>
        <v/>
      </c>
      <c r="R101">
        <f>IF(R16="","",IF(R16=0,0.2,IF(R17="","",R17/5)))</f>
        <v/>
      </c>
      <c r="S101">
        <f>IF(S16="","",IF(S16=0,0.2,IF(S17="","",S17/5)))</f>
        <v/>
      </c>
      <c r="T101">
        <f>IF(T16="","",IF(T16=0,0.2,IF(T17="","",T17/5)))</f>
        <v/>
      </c>
      <c r="U101">
        <f>IF(U16="","",IF(U16=0,0.2,IF(U17="","",U17/5)))</f>
        <v/>
      </c>
      <c r="V101">
        <f>IF(V16="","",IF(V16=0,0.2,IF(V17="","",V17/5)))</f>
        <v/>
      </c>
      <c r="W101">
        <f>IF(W16="","",IF(W16=0,0.2,IF(W17="","",W17/5)))</f>
        <v/>
      </c>
      <c r="X101">
        <f>IF(X16="","",IF(X16=0,0.2,IF(X17="","",X17/5)))</f>
        <v/>
      </c>
      <c r="Y101">
        <f>IF(Y16="","",IF(Y16=0,0.2,IF(Y17="","",Y17/5)))</f>
        <v/>
      </c>
      <c r="Z101">
        <f>IF(Z16="","",IF(Z16=0,0.2,IF(Z17="","",Z17/5)))</f>
        <v/>
      </c>
      <c r="AA101">
        <f>IF(AA16="","",IF(AA16=0,0.2,IF(AA17="","",AA17/5)))</f>
        <v/>
      </c>
      <c r="AB101">
        <f>IF(AB16="","",IF(AB16=0,0.2,IF(AB17="","",AB17/5)))</f>
        <v/>
      </c>
      <c r="AC101">
        <f>IF(AC16="","",IF(AC16=0,0.2,IF(AC17="","",AC17/5)))</f>
        <v/>
      </c>
      <c r="AD101">
        <f>IF(AD16="","",IF(AD16=0,0.2,IF(AD17="","",AD17/5)))</f>
        <v/>
      </c>
      <c r="AE101">
        <f>IF(AE16="","",IF(AE16=0,0.2,IF(AE17="","",AE17/5)))</f>
        <v/>
      </c>
      <c r="AF101">
        <f>IF(AF16="","",IF(AF16=0,0.2,IF(AF17="","",AF17/5)))</f>
        <v/>
      </c>
      <c r="AG101">
        <f>IF(AG16="","",IF(AG16=0,0.2,IF(AG17="","",AG17/5)))</f>
        <v/>
      </c>
      <c r="AH101">
        <f>IF(AH16="","",IF(AH16=0,0.2,IF(AH17="","",AH17/5)))</f>
        <v/>
      </c>
      <c r="AI101">
        <f>IF(AI16="","",IF(AI16=0,0.2,IF(AI17="","",AI17/5)))</f>
        <v/>
      </c>
      <c r="AJ101">
        <f>IF(AJ16="","",IF(AJ16=0,0.2,IF(AJ17="","",AJ17/5)))</f>
        <v/>
      </c>
      <c r="AK101">
        <f>IF(AK16="","",IF(AK16=0,0.2,IF(AK17="","",AK17/5)))</f>
        <v/>
      </c>
      <c r="AL101">
        <f>IF(AL16="","",IF(AL16=0,0.2,IF(AL17="","",AL17/5)))</f>
        <v/>
      </c>
      <c r="AM101">
        <f>IF(AM16="","",IF(AM16=0,0.2,IF(AM17="","",AM17/5)))</f>
        <v/>
      </c>
      <c r="AN101">
        <f>IF(AN16="","",IF(AN16=0,0.2,IF(AN17="","",AN17/5)))</f>
        <v/>
      </c>
      <c r="AO101">
        <f>IF(AO16="","",IF(AO16=0,0.2,IF(AO17="","",AO17/5)))</f>
        <v/>
      </c>
      <c r="AP101">
        <f>IF(AP16="","",IF(AP16=0,0.2,IF(AP17="","",AP17/5)))</f>
        <v/>
      </c>
      <c r="AQ101">
        <f>IF(AQ16="","",IF(AQ16=0,0.2,IF(AQ17="","",AQ17/5)))</f>
        <v/>
      </c>
      <c r="AR101">
        <f>IF(AR16="","",IF(AR16=0,0.2,IF(AR17="","",AR17/5)))</f>
        <v/>
      </c>
      <c r="AS101">
        <f>IF(AS16="","",IF(AS16=0,0.2,IF(AS17="","",AS17/5)))</f>
        <v/>
      </c>
      <c r="AT101">
        <f>IF(AT16="","",IF(AT16=0,0.2,IF(AT17="","",AT17/5)))</f>
        <v/>
      </c>
      <c r="AU101">
        <f>IF(AU16="","",IF(AU16=0,0.2,IF(AU17="","",AU17/5)))</f>
        <v/>
      </c>
      <c r="AV101">
        <f>IF(AV16="","",IF(AV16=0,0.2,IF(AV17="","",AV17/5)))</f>
        <v/>
      </c>
      <c r="AW101">
        <f>IF(AW16="","",IF(AW16=0,0.2,IF(AW17="","",AW17/5)))</f>
        <v/>
      </c>
      <c r="AX101">
        <f>IF(AX16="","",IF(AX16=0,0.2,IF(AX17="","",AX17/5)))</f>
        <v/>
      </c>
      <c r="AY101">
        <f>IF(AY16="","",IF(AY16=0,0.2,IF(AY17="","",AY17/5)))</f>
        <v/>
      </c>
      <c r="AZ101">
        <f>IF(AZ16="","",IF(AZ16=0,0.2,IF(AZ17="","",AZ17/5)))</f>
        <v/>
      </c>
      <c r="BA101">
        <f>IF(BA16="","",IF(BA16=0,0.2,IF(BA17="","",BA17/5)))</f>
        <v/>
      </c>
      <c r="BB101">
        <f>IF(BB16="","",IF(BB16=0,0.2,IF(BB17="","",BB17/5)))</f>
        <v/>
      </c>
    </row>
    <row r="102">
      <c r="A102" s="16" t="inlineStr">
        <is>
          <t>Q17_4</t>
        </is>
      </c>
      <c r="B102" s="16" t="inlineStr">
        <is>
          <t>노사협력 프로그램</t>
        </is>
      </c>
      <c r="C102" s="46">
        <f>가중치!$F$17</f>
        <v/>
      </c>
      <c r="E102">
        <f>IF(E18="","",IF(E18=0,0.2,IF(E19="","",E19/5)))</f>
        <v/>
      </c>
      <c r="F102">
        <f>IF(F18="","",IF(F18=0,0.2,IF(F19="","",F19/5)))</f>
        <v/>
      </c>
      <c r="G102">
        <f>IF(G18="","",IF(G18=0,0.2,IF(G19="","",G19/5)))</f>
        <v/>
      </c>
      <c r="H102">
        <f>IF(H18="","",IF(H18=0,0.2,IF(H19="","",H19/5)))</f>
        <v/>
      </c>
      <c r="I102">
        <f>IF(I18="","",IF(I18=0,0.2,IF(I19="","",I19/5)))</f>
        <v/>
      </c>
      <c r="J102">
        <f>IF(J18="","",IF(J18=0,0.2,IF(J19="","",J19/5)))</f>
        <v/>
      </c>
      <c r="K102">
        <f>IF(K18="","",IF(K18=0,0.2,IF(K19="","",K19/5)))</f>
        <v/>
      </c>
      <c r="L102">
        <f>IF(L18="","",IF(L18=0,0.2,IF(L19="","",L19/5)))</f>
        <v/>
      </c>
      <c r="M102">
        <f>IF(M18="","",IF(M18=0,0.2,IF(M19="","",M19/5)))</f>
        <v/>
      </c>
      <c r="N102">
        <f>IF(N18="","",IF(N18=0,0.2,IF(N19="","",N19/5)))</f>
        <v/>
      </c>
      <c r="O102">
        <f>IF(O18="","",IF(O18=0,0.2,IF(O19="","",O19/5)))</f>
        <v/>
      </c>
      <c r="P102">
        <f>IF(P18="","",IF(P18=0,0.2,IF(P19="","",P19/5)))</f>
        <v/>
      </c>
      <c r="Q102">
        <f>IF(Q18="","",IF(Q18=0,0.2,IF(Q19="","",Q19/5)))</f>
        <v/>
      </c>
      <c r="R102">
        <f>IF(R18="","",IF(R18=0,0.2,IF(R19="","",R19/5)))</f>
        <v/>
      </c>
      <c r="S102">
        <f>IF(S18="","",IF(S18=0,0.2,IF(S19="","",S19/5)))</f>
        <v/>
      </c>
      <c r="T102">
        <f>IF(T18="","",IF(T18=0,0.2,IF(T19="","",T19/5)))</f>
        <v/>
      </c>
      <c r="U102">
        <f>IF(U18="","",IF(U18=0,0.2,IF(U19="","",U19/5)))</f>
        <v/>
      </c>
      <c r="V102">
        <f>IF(V18="","",IF(V18=0,0.2,IF(V19="","",V19/5)))</f>
        <v/>
      </c>
      <c r="W102">
        <f>IF(W18="","",IF(W18=0,0.2,IF(W19="","",W19/5)))</f>
        <v/>
      </c>
      <c r="X102">
        <f>IF(X18="","",IF(X18=0,0.2,IF(X19="","",X19/5)))</f>
        <v/>
      </c>
      <c r="Y102">
        <f>IF(Y18="","",IF(Y18=0,0.2,IF(Y19="","",Y19/5)))</f>
        <v/>
      </c>
      <c r="Z102">
        <f>IF(Z18="","",IF(Z18=0,0.2,IF(Z19="","",Z19/5)))</f>
        <v/>
      </c>
      <c r="AA102">
        <f>IF(AA18="","",IF(AA18=0,0.2,IF(AA19="","",AA19/5)))</f>
        <v/>
      </c>
      <c r="AB102">
        <f>IF(AB18="","",IF(AB18=0,0.2,IF(AB19="","",AB19/5)))</f>
        <v/>
      </c>
      <c r="AC102">
        <f>IF(AC18="","",IF(AC18=0,0.2,IF(AC19="","",AC19/5)))</f>
        <v/>
      </c>
      <c r="AD102">
        <f>IF(AD18="","",IF(AD18=0,0.2,IF(AD19="","",AD19/5)))</f>
        <v/>
      </c>
      <c r="AE102">
        <f>IF(AE18="","",IF(AE18=0,0.2,IF(AE19="","",AE19/5)))</f>
        <v/>
      </c>
      <c r="AF102">
        <f>IF(AF18="","",IF(AF18=0,0.2,IF(AF19="","",AF19/5)))</f>
        <v/>
      </c>
      <c r="AG102">
        <f>IF(AG18="","",IF(AG18=0,0.2,IF(AG19="","",AG19/5)))</f>
        <v/>
      </c>
      <c r="AH102">
        <f>IF(AH18="","",IF(AH18=0,0.2,IF(AH19="","",AH19/5)))</f>
        <v/>
      </c>
      <c r="AI102">
        <f>IF(AI18="","",IF(AI18=0,0.2,IF(AI19="","",AI19/5)))</f>
        <v/>
      </c>
      <c r="AJ102">
        <f>IF(AJ18="","",IF(AJ18=0,0.2,IF(AJ19="","",AJ19/5)))</f>
        <v/>
      </c>
      <c r="AK102">
        <f>IF(AK18="","",IF(AK18=0,0.2,IF(AK19="","",AK19/5)))</f>
        <v/>
      </c>
      <c r="AL102">
        <f>IF(AL18="","",IF(AL18=0,0.2,IF(AL19="","",AL19/5)))</f>
        <v/>
      </c>
      <c r="AM102">
        <f>IF(AM18="","",IF(AM18=0,0.2,IF(AM19="","",AM19/5)))</f>
        <v/>
      </c>
      <c r="AN102">
        <f>IF(AN18="","",IF(AN18=0,0.2,IF(AN19="","",AN19/5)))</f>
        <v/>
      </c>
      <c r="AO102">
        <f>IF(AO18="","",IF(AO18=0,0.2,IF(AO19="","",AO19/5)))</f>
        <v/>
      </c>
      <c r="AP102">
        <f>IF(AP18="","",IF(AP18=0,0.2,IF(AP19="","",AP19/5)))</f>
        <v/>
      </c>
      <c r="AQ102">
        <f>IF(AQ18="","",IF(AQ18=0,0.2,IF(AQ19="","",AQ19/5)))</f>
        <v/>
      </c>
      <c r="AR102">
        <f>IF(AR18="","",IF(AR18=0,0.2,IF(AR19="","",AR19/5)))</f>
        <v/>
      </c>
      <c r="AS102">
        <f>IF(AS18="","",IF(AS18=0,0.2,IF(AS19="","",AS19/5)))</f>
        <v/>
      </c>
      <c r="AT102">
        <f>IF(AT18="","",IF(AT18=0,0.2,IF(AT19="","",AT19/5)))</f>
        <v/>
      </c>
      <c r="AU102">
        <f>IF(AU18="","",IF(AU18=0,0.2,IF(AU19="","",AU19/5)))</f>
        <v/>
      </c>
      <c r="AV102">
        <f>IF(AV18="","",IF(AV18=0,0.2,IF(AV19="","",AV19/5)))</f>
        <v/>
      </c>
      <c r="AW102">
        <f>IF(AW18="","",IF(AW18=0,0.2,IF(AW19="","",AW19/5)))</f>
        <v/>
      </c>
      <c r="AX102">
        <f>IF(AX18="","",IF(AX18=0,0.2,IF(AX19="","",AX19/5)))</f>
        <v/>
      </c>
      <c r="AY102">
        <f>IF(AY18="","",IF(AY18=0,0.2,IF(AY19="","",AY19/5)))</f>
        <v/>
      </c>
      <c r="AZ102">
        <f>IF(AZ18="","",IF(AZ18=0,0.2,IF(AZ19="","",AZ19/5)))</f>
        <v/>
      </c>
      <c r="BA102">
        <f>IF(BA18="","",IF(BA18=0,0.2,IF(BA19="","",BA19/5)))</f>
        <v/>
      </c>
      <c r="BB102">
        <f>IF(BB18="","",IF(BB18=0,0.2,IF(BB19="","",BB19/5)))</f>
        <v/>
      </c>
    </row>
    <row r="103">
      <c r="A103" s="16" t="inlineStr">
        <is>
          <t>Q17_5</t>
        </is>
      </c>
      <c r="B103" s="16" t="inlineStr">
        <is>
          <t>노사협력 프로그램</t>
        </is>
      </c>
      <c r="C103" s="46">
        <f>가중치!$F$18</f>
        <v/>
      </c>
      <c r="E103">
        <f>IF(E20="","",IF(E20=0,0.2,IF(E21="","",E21/5)))</f>
        <v/>
      </c>
      <c r="F103">
        <f>IF(F20="","",IF(F20=0,0.2,IF(F21="","",F21/5)))</f>
        <v/>
      </c>
      <c r="G103">
        <f>IF(G20="","",IF(G20=0,0.2,IF(G21="","",G21/5)))</f>
        <v/>
      </c>
      <c r="H103">
        <f>IF(H20="","",IF(H20=0,0.2,IF(H21="","",H21/5)))</f>
        <v/>
      </c>
      <c r="I103">
        <f>IF(I20="","",IF(I20=0,0.2,IF(I21="","",I21/5)))</f>
        <v/>
      </c>
      <c r="J103">
        <f>IF(J20="","",IF(J20=0,0.2,IF(J21="","",J21/5)))</f>
        <v/>
      </c>
      <c r="K103">
        <f>IF(K20="","",IF(K20=0,0.2,IF(K21="","",K21/5)))</f>
        <v/>
      </c>
      <c r="L103">
        <f>IF(L20="","",IF(L20=0,0.2,IF(L21="","",L21/5)))</f>
        <v/>
      </c>
      <c r="M103">
        <f>IF(M20="","",IF(M20=0,0.2,IF(M21="","",M21/5)))</f>
        <v/>
      </c>
      <c r="N103">
        <f>IF(N20="","",IF(N20=0,0.2,IF(N21="","",N21/5)))</f>
        <v/>
      </c>
      <c r="O103">
        <f>IF(O20="","",IF(O20=0,0.2,IF(O21="","",O21/5)))</f>
        <v/>
      </c>
      <c r="P103">
        <f>IF(P20="","",IF(P20=0,0.2,IF(P21="","",P21/5)))</f>
        <v/>
      </c>
      <c r="Q103">
        <f>IF(Q20="","",IF(Q20=0,0.2,IF(Q21="","",Q21/5)))</f>
        <v/>
      </c>
      <c r="R103">
        <f>IF(R20="","",IF(R20=0,0.2,IF(R21="","",R21/5)))</f>
        <v/>
      </c>
      <c r="S103">
        <f>IF(S20="","",IF(S20=0,0.2,IF(S21="","",S21/5)))</f>
        <v/>
      </c>
      <c r="T103">
        <f>IF(T20="","",IF(T20=0,0.2,IF(T21="","",T21/5)))</f>
        <v/>
      </c>
      <c r="U103">
        <f>IF(U20="","",IF(U20=0,0.2,IF(U21="","",U21/5)))</f>
        <v/>
      </c>
      <c r="V103">
        <f>IF(V20="","",IF(V20=0,0.2,IF(V21="","",V21/5)))</f>
        <v/>
      </c>
      <c r="W103">
        <f>IF(W20="","",IF(W20=0,0.2,IF(W21="","",W21/5)))</f>
        <v/>
      </c>
      <c r="X103">
        <f>IF(X20="","",IF(X20=0,0.2,IF(X21="","",X21/5)))</f>
        <v/>
      </c>
      <c r="Y103">
        <f>IF(Y20="","",IF(Y20=0,0.2,IF(Y21="","",Y21/5)))</f>
        <v/>
      </c>
      <c r="Z103">
        <f>IF(Z20="","",IF(Z20=0,0.2,IF(Z21="","",Z21/5)))</f>
        <v/>
      </c>
      <c r="AA103">
        <f>IF(AA20="","",IF(AA20=0,0.2,IF(AA21="","",AA21/5)))</f>
        <v/>
      </c>
      <c r="AB103">
        <f>IF(AB20="","",IF(AB20=0,0.2,IF(AB21="","",AB21/5)))</f>
        <v/>
      </c>
      <c r="AC103">
        <f>IF(AC20="","",IF(AC20=0,0.2,IF(AC21="","",AC21/5)))</f>
        <v/>
      </c>
      <c r="AD103">
        <f>IF(AD20="","",IF(AD20=0,0.2,IF(AD21="","",AD21/5)))</f>
        <v/>
      </c>
      <c r="AE103">
        <f>IF(AE20="","",IF(AE20=0,0.2,IF(AE21="","",AE21/5)))</f>
        <v/>
      </c>
      <c r="AF103">
        <f>IF(AF20="","",IF(AF20=0,0.2,IF(AF21="","",AF21/5)))</f>
        <v/>
      </c>
      <c r="AG103">
        <f>IF(AG20="","",IF(AG20=0,0.2,IF(AG21="","",AG21/5)))</f>
        <v/>
      </c>
      <c r="AH103">
        <f>IF(AH20="","",IF(AH20=0,0.2,IF(AH21="","",AH21/5)))</f>
        <v/>
      </c>
      <c r="AI103">
        <f>IF(AI20="","",IF(AI20=0,0.2,IF(AI21="","",AI21/5)))</f>
        <v/>
      </c>
      <c r="AJ103">
        <f>IF(AJ20="","",IF(AJ20=0,0.2,IF(AJ21="","",AJ21/5)))</f>
        <v/>
      </c>
      <c r="AK103">
        <f>IF(AK20="","",IF(AK20=0,0.2,IF(AK21="","",AK21/5)))</f>
        <v/>
      </c>
      <c r="AL103">
        <f>IF(AL20="","",IF(AL20=0,0.2,IF(AL21="","",AL21/5)))</f>
        <v/>
      </c>
      <c r="AM103">
        <f>IF(AM20="","",IF(AM20=0,0.2,IF(AM21="","",AM21/5)))</f>
        <v/>
      </c>
      <c r="AN103">
        <f>IF(AN20="","",IF(AN20=0,0.2,IF(AN21="","",AN21/5)))</f>
        <v/>
      </c>
      <c r="AO103">
        <f>IF(AO20="","",IF(AO20=0,0.2,IF(AO21="","",AO21/5)))</f>
        <v/>
      </c>
      <c r="AP103">
        <f>IF(AP20="","",IF(AP20=0,0.2,IF(AP21="","",AP21/5)))</f>
        <v/>
      </c>
      <c r="AQ103">
        <f>IF(AQ20="","",IF(AQ20=0,0.2,IF(AQ21="","",AQ21/5)))</f>
        <v/>
      </c>
      <c r="AR103">
        <f>IF(AR20="","",IF(AR20=0,0.2,IF(AR21="","",AR21/5)))</f>
        <v/>
      </c>
      <c r="AS103">
        <f>IF(AS20="","",IF(AS20=0,0.2,IF(AS21="","",AS21/5)))</f>
        <v/>
      </c>
      <c r="AT103">
        <f>IF(AT20="","",IF(AT20=0,0.2,IF(AT21="","",AT21/5)))</f>
        <v/>
      </c>
      <c r="AU103">
        <f>IF(AU20="","",IF(AU20=0,0.2,IF(AU21="","",AU21/5)))</f>
        <v/>
      </c>
      <c r="AV103">
        <f>IF(AV20="","",IF(AV20=0,0.2,IF(AV21="","",AV21/5)))</f>
        <v/>
      </c>
      <c r="AW103">
        <f>IF(AW20="","",IF(AW20=0,0.2,IF(AW21="","",AW21/5)))</f>
        <v/>
      </c>
      <c r="AX103">
        <f>IF(AX20="","",IF(AX20=0,0.2,IF(AX21="","",AX21/5)))</f>
        <v/>
      </c>
      <c r="AY103">
        <f>IF(AY20="","",IF(AY20=0,0.2,IF(AY21="","",AY21/5)))</f>
        <v/>
      </c>
      <c r="AZ103">
        <f>IF(AZ20="","",IF(AZ20=0,0.2,IF(AZ21="","",AZ21/5)))</f>
        <v/>
      </c>
      <c r="BA103">
        <f>IF(BA20="","",IF(BA20=0,0.2,IF(BA21="","",BA21/5)))</f>
        <v/>
      </c>
      <c r="BB103">
        <f>IF(BB20="","",IF(BB20=0,0.2,IF(BB21="","",BB21/5)))</f>
        <v/>
      </c>
    </row>
    <row r="104">
      <c r="A104" s="16" t="inlineStr">
        <is>
          <t>Q18_1</t>
        </is>
      </c>
      <c r="B104" s="16" t="inlineStr">
        <is>
          <t>노사갈등(미발생)</t>
        </is>
      </c>
      <c r="C104" s="46">
        <f>가중치!$F$19</f>
        <v/>
      </c>
      <c r="E104">
        <f>IF(E22="","",1-E22)</f>
        <v/>
      </c>
      <c r="F104">
        <f>IF(F22="","",1-F22)</f>
        <v/>
      </c>
      <c r="G104">
        <f>IF(G22="","",1-G22)</f>
        <v/>
      </c>
      <c r="H104">
        <f>IF(H22="","",1-H22)</f>
        <v/>
      </c>
      <c r="I104">
        <f>IF(I22="","",1-I22)</f>
        <v/>
      </c>
      <c r="J104">
        <f>IF(J22="","",1-J22)</f>
        <v/>
      </c>
      <c r="K104">
        <f>IF(K22="","",1-K22)</f>
        <v/>
      </c>
      <c r="L104">
        <f>IF(L22="","",1-L22)</f>
        <v/>
      </c>
      <c r="M104">
        <f>IF(M22="","",1-M22)</f>
        <v/>
      </c>
      <c r="N104">
        <f>IF(N22="","",1-N22)</f>
        <v/>
      </c>
      <c r="O104">
        <f>IF(O22="","",1-O22)</f>
        <v/>
      </c>
      <c r="P104">
        <f>IF(P22="","",1-P22)</f>
        <v/>
      </c>
      <c r="Q104">
        <f>IF(Q22="","",1-Q22)</f>
        <v/>
      </c>
      <c r="R104">
        <f>IF(R22="","",1-R22)</f>
        <v/>
      </c>
      <c r="S104">
        <f>IF(S22="","",1-S22)</f>
        <v/>
      </c>
      <c r="T104">
        <f>IF(T22="","",1-T22)</f>
        <v/>
      </c>
      <c r="U104">
        <f>IF(U22="","",1-U22)</f>
        <v/>
      </c>
      <c r="V104">
        <f>IF(V22="","",1-V22)</f>
        <v/>
      </c>
      <c r="W104">
        <f>IF(W22="","",1-W22)</f>
        <v/>
      </c>
      <c r="X104">
        <f>IF(X22="","",1-X22)</f>
        <v/>
      </c>
      <c r="Y104">
        <f>IF(Y22="","",1-Y22)</f>
        <v/>
      </c>
      <c r="Z104">
        <f>IF(Z22="","",1-Z22)</f>
        <v/>
      </c>
      <c r="AA104">
        <f>IF(AA22="","",1-AA22)</f>
        <v/>
      </c>
      <c r="AB104">
        <f>IF(AB22="","",1-AB22)</f>
        <v/>
      </c>
      <c r="AC104">
        <f>IF(AC22="","",1-AC22)</f>
        <v/>
      </c>
      <c r="AD104">
        <f>IF(AD22="","",1-AD22)</f>
        <v/>
      </c>
      <c r="AE104">
        <f>IF(AE22="","",1-AE22)</f>
        <v/>
      </c>
      <c r="AF104">
        <f>IF(AF22="","",1-AF22)</f>
        <v/>
      </c>
      <c r="AG104">
        <f>IF(AG22="","",1-AG22)</f>
        <v/>
      </c>
      <c r="AH104">
        <f>IF(AH22="","",1-AH22)</f>
        <v/>
      </c>
      <c r="AI104">
        <f>IF(AI22="","",1-AI22)</f>
        <v/>
      </c>
      <c r="AJ104">
        <f>IF(AJ22="","",1-AJ22)</f>
        <v/>
      </c>
      <c r="AK104">
        <f>IF(AK22="","",1-AK22)</f>
        <v/>
      </c>
      <c r="AL104">
        <f>IF(AL22="","",1-AL22)</f>
        <v/>
      </c>
      <c r="AM104">
        <f>IF(AM22="","",1-AM22)</f>
        <v/>
      </c>
      <c r="AN104">
        <f>IF(AN22="","",1-AN22)</f>
        <v/>
      </c>
      <c r="AO104">
        <f>IF(AO22="","",1-AO22)</f>
        <v/>
      </c>
      <c r="AP104">
        <f>IF(AP22="","",1-AP22)</f>
        <v/>
      </c>
      <c r="AQ104">
        <f>IF(AQ22="","",1-AQ22)</f>
        <v/>
      </c>
      <c r="AR104">
        <f>IF(AR22="","",1-AR22)</f>
        <v/>
      </c>
      <c r="AS104">
        <f>IF(AS22="","",1-AS22)</f>
        <v/>
      </c>
      <c r="AT104">
        <f>IF(AT22="","",1-AT22)</f>
        <v/>
      </c>
      <c r="AU104">
        <f>IF(AU22="","",1-AU22)</f>
        <v/>
      </c>
      <c r="AV104">
        <f>IF(AV22="","",1-AV22)</f>
        <v/>
      </c>
      <c r="AW104">
        <f>IF(AW22="","",1-AW22)</f>
        <v/>
      </c>
      <c r="AX104">
        <f>IF(AX22="","",1-AX22)</f>
        <v/>
      </c>
      <c r="AY104">
        <f>IF(AY22="","",1-AY22)</f>
        <v/>
      </c>
      <c r="AZ104">
        <f>IF(AZ22="","",1-AZ22)</f>
        <v/>
      </c>
      <c r="BA104">
        <f>IF(BA22="","",1-BA22)</f>
        <v/>
      </c>
      <c r="BB104">
        <f>IF(BB22="","",1-BB22)</f>
        <v/>
      </c>
    </row>
    <row r="105">
      <c r="A105" s="16" t="inlineStr">
        <is>
          <t>Q18_2</t>
        </is>
      </c>
      <c r="B105" s="16" t="inlineStr">
        <is>
          <t>노사갈등(미발생)</t>
        </is>
      </c>
      <c r="C105" s="46">
        <f>가중치!$F$20</f>
        <v/>
      </c>
      <c r="E105">
        <f>IF(E23="","",1-E23)</f>
        <v/>
      </c>
      <c r="F105">
        <f>IF(F23="","",1-F23)</f>
        <v/>
      </c>
      <c r="G105">
        <f>IF(G23="","",1-G23)</f>
        <v/>
      </c>
      <c r="H105">
        <f>IF(H23="","",1-H23)</f>
        <v/>
      </c>
      <c r="I105">
        <f>IF(I23="","",1-I23)</f>
        <v/>
      </c>
      <c r="J105">
        <f>IF(J23="","",1-J23)</f>
        <v/>
      </c>
      <c r="K105">
        <f>IF(K23="","",1-K23)</f>
        <v/>
      </c>
      <c r="L105">
        <f>IF(L23="","",1-L23)</f>
        <v/>
      </c>
      <c r="M105">
        <f>IF(M23="","",1-M23)</f>
        <v/>
      </c>
      <c r="N105">
        <f>IF(N23="","",1-N23)</f>
        <v/>
      </c>
      <c r="O105">
        <f>IF(O23="","",1-O23)</f>
        <v/>
      </c>
      <c r="P105">
        <f>IF(P23="","",1-P23)</f>
        <v/>
      </c>
      <c r="Q105">
        <f>IF(Q23="","",1-Q23)</f>
        <v/>
      </c>
      <c r="R105">
        <f>IF(R23="","",1-R23)</f>
        <v/>
      </c>
      <c r="S105">
        <f>IF(S23="","",1-S23)</f>
        <v/>
      </c>
      <c r="T105">
        <f>IF(T23="","",1-T23)</f>
        <v/>
      </c>
      <c r="U105">
        <f>IF(U23="","",1-U23)</f>
        <v/>
      </c>
      <c r="V105">
        <f>IF(V23="","",1-V23)</f>
        <v/>
      </c>
      <c r="W105">
        <f>IF(W23="","",1-W23)</f>
        <v/>
      </c>
      <c r="X105">
        <f>IF(X23="","",1-X23)</f>
        <v/>
      </c>
      <c r="Y105">
        <f>IF(Y23="","",1-Y23)</f>
        <v/>
      </c>
      <c r="Z105">
        <f>IF(Z23="","",1-Z23)</f>
        <v/>
      </c>
      <c r="AA105">
        <f>IF(AA23="","",1-AA23)</f>
        <v/>
      </c>
      <c r="AB105">
        <f>IF(AB23="","",1-AB23)</f>
        <v/>
      </c>
      <c r="AC105">
        <f>IF(AC23="","",1-AC23)</f>
        <v/>
      </c>
      <c r="AD105">
        <f>IF(AD23="","",1-AD23)</f>
        <v/>
      </c>
      <c r="AE105">
        <f>IF(AE23="","",1-AE23)</f>
        <v/>
      </c>
      <c r="AF105">
        <f>IF(AF23="","",1-AF23)</f>
        <v/>
      </c>
      <c r="AG105">
        <f>IF(AG23="","",1-AG23)</f>
        <v/>
      </c>
      <c r="AH105">
        <f>IF(AH23="","",1-AH23)</f>
        <v/>
      </c>
      <c r="AI105">
        <f>IF(AI23="","",1-AI23)</f>
        <v/>
      </c>
      <c r="AJ105">
        <f>IF(AJ23="","",1-AJ23)</f>
        <v/>
      </c>
      <c r="AK105">
        <f>IF(AK23="","",1-AK23)</f>
        <v/>
      </c>
      <c r="AL105">
        <f>IF(AL23="","",1-AL23)</f>
        <v/>
      </c>
      <c r="AM105">
        <f>IF(AM23="","",1-AM23)</f>
        <v/>
      </c>
      <c r="AN105">
        <f>IF(AN23="","",1-AN23)</f>
        <v/>
      </c>
      <c r="AO105">
        <f>IF(AO23="","",1-AO23)</f>
        <v/>
      </c>
      <c r="AP105">
        <f>IF(AP23="","",1-AP23)</f>
        <v/>
      </c>
      <c r="AQ105">
        <f>IF(AQ23="","",1-AQ23)</f>
        <v/>
      </c>
      <c r="AR105">
        <f>IF(AR23="","",1-AR23)</f>
        <v/>
      </c>
      <c r="AS105">
        <f>IF(AS23="","",1-AS23)</f>
        <v/>
      </c>
      <c r="AT105">
        <f>IF(AT23="","",1-AT23)</f>
        <v/>
      </c>
      <c r="AU105">
        <f>IF(AU23="","",1-AU23)</f>
        <v/>
      </c>
      <c r="AV105">
        <f>IF(AV23="","",1-AV23)</f>
        <v/>
      </c>
      <c r="AW105">
        <f>IF(AW23="","",1-AW23)</f>
        <v/>
      </c>
      <c r="AX105">
        <f>IF(AX23="","",1-AX23)</f>
        <v/>
      </c>
      <c r="AY105">
        <f>IF(AY23="","",1-AY23)</f>
        <v/>
      </c>
      <c r="AZ105">
        <f>IF(AZ23="","",1-AZ23)</f>
        <v/>
      </c>
      <c r="BA105">
        <f>IF(BA23="","",1-BA23)</f>
        <v/>
      </c>
      <c r="BB105">
        <f>IF(BB23="","",1-BB23)</f>
        <v/>
      </c>
    </row>
    <row r="106">
      <c r="A106" s="16" t="inlineStr">
        <is>
          <t>Q18_3</t>
        </is>
      </c>
      <c r="B106" s="16" t="inlineStr">
        <is>
          <t>노사갈등(미발생)</t>
        </is>
      </c>
      <c r="C106" s="46">
        <f>가중치!$F$21</f>
        <v/>
      </c>
      <c r="E106">
        <f>IF(E24="","",1-E24)</f>
        <v/>
      </c>
      <c r="F106">
        <f>IF(F24="","",1-F24)</f>
        <v/>
      </c>
      <c r="G106">
        <f>IF(G24="","",1-G24)</f>
        <v/>
      </c>
      <c r="H106">
        <f>IF(H24="","",1-H24)</f>
        <v/>
      </c>
      <c r="I106">
        <f>IF(I24="","",1-I24)</f>
        <v/>
      </c>
      <c r="J106">
        <f>IF(J24="","",1-J24)</f>
        <v/>
      </c>
      <c r="K106">
        <f>IF(K24="","",1-K24)</f>
        <v/>
      </c>
      <c r="L106">
        <f>IF(L24="","",1-L24)</f>
        <v/>
      </c>
      <c r="M106">
        <f>IF(M24="","",1-M24)</f>
        <v/>
      </c>
      <c r="N106">
        <f>IF(N24="","",1-N24)</f>
        <v/>
      </c>
      <c r="O106">
        <f>IF(O24="","",1-O24)</f>
        <v/>
      </c>
      <c r="P106">
        <f>IF(P24="","",1-P24)</f>
        <v/>
      </c>
      <c r="Q106">
        <f>IF(Q24="","",1-Q24)</f>
        <v/>
      </c>
      <c r="R106">
        <f>IF(R24="","",1-R24)</f>
        <v/>
      </c>
      <c r="S106">
        <f>IF(S24="","",1-S24)</f>
        <v/>
      </c>
      <c r="T106">
        <f>IF(T24="","",1-T24)</f>
        <v/>
      </c>
      <c r="U106">
        <f>IF(U24="","",1-U24)</f>
        <v/>
      </c>
      <c r="V106">
        <f>IF(V24="","",1-V24)</f>
        <v/>
      </c>
      <c r="W106">
        <f>IF(W24="","",1-W24)</f>
        <v/>
      </c>
      <c r="X106">
        <f>IF(X24="","",1-X24)</f>
        <v/>
      </c>
      <c r="Y106">
        <f>IF(Y24="","",1-Y24)</f>
        <v/>
      </c>
      <c r="Z106">
        <f>IF(Z24="","",1-Z24)</f>
        <v/>
      </c>
      <c r="AA106">
        <f>IF(AA24="","",1-AA24)</f>
        <v/>
      </c>
      <c r="AB106">
        <f>IF(AB24="","",1-AB24)</f>
        <v/>
      </c>
      <c r="AC106">
        <f>IF(AC24="","",1-AC24)</f>
        <v/>
      </c>
      <c r="AD106">
        <f>IF(AD24="","",1-AD24)</f>
        <v/>
      </c>
      <c r="AE106">
        <f>IF(AE24="","",1-AE24)</f>
        <v/>
      </c>
      <c r="AF106">
        <f>IF(AF24="","",1-AF24)</f>
        <v/>
      </c>
      <c r="AG106">
        <f>IF(AG24="","",1-AG24)</f>
        <v/>
      </c>
      <c r="AH106">
        <f>IF(AH24="","",1-AH24)</f>
        <v/>
      </c>
      <c r="AI106">
        <f>IF(AI24="","",1-AI24)</f>
        <v/>
      </c>
      <c r="AJ106">
        <f>IF(AJ24="","",1-AJ24)</f>
        <v/>
      </c>
      <c r="AK106">
        <f>IF(AK24="","",1-AK24)</f>
        <v/>
      </c>
      <c r="AL106">
        <f>IF(AL24="","",1-AL24)</f>
        <v/>
      </c>
      <c r="AM106">
        <f>IF(AM24="","",1-AM24)</f>
        <v/>
      </c>
      <c r="AN106">
        <f>IF(AN24="","",1-AN24)</f>
        <v/>
      </c>
      <c r="AO106">
        <f>IF(AO24="","",1-AO24)</f>
        <v/>
      </c>
      <c r="AP106">
        <f>IF(AP24="","",1-AP24)</f>
        <v/>
      </c>
      <c r="AQ106">
        <f>IF(AQ24="","",1-AQ24)</f>
        <v/>
      </c>
      <c r="AR106">
        <f>IF(AR24="","",1-AR24)</f>
        <v/>
      </c>
      <c r="AS106">
        <f>IF(AS24="","",1-AS24)</f>
        <v/>
      </c>
      <c r="AT106">
        <f>IF(AT24="","",1-AT24)</f>
        <v/>
      </c>
      <c r="AU106">
        <f>IF(AU24="","",1-AU24)</f>
        <v/>
      </c>
      <c r="AV106">
        <f>IF(AV24="","",1-AV24)</f>
        <v/>
      </c>
      <c r="AW106">
        <f>IF(AW24="","",1-AW24)</f>
        <v/>
      </c>
      <c r="AX106">
        <f>IF(AX24="","",1-AX24)</f>
        <v/>
      </c>
      <c r="AY106">
        <f>IF(AY24="","",1-AY24)</f>
        <v/>
      </c>
      <c r="AZ106">
        <f>IF(AZ24="","",1-AZ24)</f>
        <v/>
      </c>
      <c r="BA106">
        <f>IF(BA24="","",1-BA24)</f>
        <v/>
      </c>
      <c r="BB106">
        <f>IF(BB24="","",1-BB24)</f>
        <v/>
      </c>
    </row>
    <row r="107">
      <c r="A107" s="16" t="inlineStr">
        <is>
          <t>Q18_4</t>
        </is>
      </c>
      <c r="B107" s="16" t="inlineStr">
        <is>
          <t>노사갈등(미발생)</t>
        </is>
      </c>
      <c r="C107" s="46">
        <f>가중치!$F$22</f>
        <v/>
      </c>
      <c r="E107">
        <f>IF(E25="","",1-E25)</f>
        <v/>
      </c>
      <c r="F107">
        <f>IF(F25="","",1-F25)</f>
        <v/>
      </c>
      <c r="G107">
        <f>IF(G25="","",1-G25)</f>
        <v/>
      </c>
      <c r="H107">
        <f>IF(H25="","",1-H25)</f>
        <v/>
      </c>
      <c r="I107">
        <f>IF(I25="","",1-I25)</f>
        <v/>
      </c>
      <c r="J107">
        <f>IF(J25="","",1-J25)</f>
        <v/>
      </c>
      <c r="K107">
        <f>IF(K25="","",1-K25)</f>
        <v/>
      </c>
      <c r="L107">
        <f>IF(L25="","",1-L25)</f>
        <v/>
      </c>
      <c r="M107">
        <f>IF(M25="","",1-M25)</f>
        <v/>
      </c>
      <c r="N107">
        <f>IF(N25="","",1-N25)</f>
        <v/>
      </c>
      <c r="O107">
        <f>IF(O25="","",1-O25)</f>
        <v/>
      </c>
      <c r="P107">
        <f>IF(P25="","",1-P25)</f>
        <v/>
      </c>
      <c r="Q107">
        <f>IF(Q25="","",1-Q25)</f>
        <v/>
      </c>
      <c r="R107">
        <f>IF(R25="","",1-R25)</f>
        <v/>
      </c>
      <c r="S107">
        <f>IF(S25="","",1-S25)</f>
        <v/>
      </c>
      <c r="T107">
        <f>IF(T25="","",1-T25)</f>
        <v/>
      </c>
      <c r="U107">
        <f>IF(U25="","",1-U25)</f>
        <v/>
      </c>
      <c r="V107">
        <f>IF(V25="","",1-V25)</f>
        <v/>
      </c>
      <c r="W107">
        <f>IF(W25="","",1-W25)</f>
        <v/>
      </c>
      <c r="X107">
        <f>IF(X25="","",1-X25)</f>
        <v/>
      </c>
      <c r="Y107">
        <f>IF(Y25="","",1-Y25)</f>
        <v/>
      </c>
      <c r="Z107">
        <f>IF(Z25="","",1-Z25)</f>
        <v/>
      </c>
      <c r="AA107">
        <f>IF(AA25="","",1-AA25)</f>
        <v/>
      </c>
      <c r="AB107">
        <f>IF(AB25="","",1-AB25)</f>
        <v/>
      </c>
      <c r="AC107">
        <f>IF(AC25="","",1-AC25)</f>
        <v/>
      </c>
      <c r="AD107">
        <f>IF(AD25="","",1-AD25)</f>
        <v/>
      </c>
      <c r="AE107">
        <f>IF(AE25="","",1-AE25)</f>
        <v/>
      </c>
      <c r="AF107">
        <f>IF(AF25="","",1-AF25)</f>
        <v/>
      </c>
      <c r="AG107">
        <f>IF(AG25="","",1-AG25)</f>
        <v/>
      </c>
      <c r="AH107">
        <f>IF(AH25="","",1-AH25)</f>
        <v/>
      </c>
      <c r="AI107">
        <f>IF(AI25="","",1-AI25)</f>
        <v/>
      </c>
      <c r="AJ107">
        <f>IF(AJ25="","",1-AJ25)</f>
        <v/>
      </c>
      <c r="AK107">
        <f>IF(AK25="","",1-AK25)</f>
        <v/>
      </c>
      <c r="AL107">
        <f>IF(AL25="","",1-AL25)</f>
        <v/>
      </c>
      <c r="AM107">
        <f>IF(AM25="","",1-AM25)</f>
        <v/>
      </c>
      <c r="AN107">
        <f>IF(AN25="","",1-AN25)</f>
        <v/>
      </c>
      <c r="AO107">
        <f>IF(AO25="","",1-AO25)</f>
        <v/>
      </c>
      <c r="AP107">
        <f>IF(AP25="","",1-AP25)</f>
        <v/>
      </c>
      <c r="AQ107">
        <f>IF(AQ25="","",1-AQ25)</f>
        <v/>
      </c>
      <c r="AR107">
        <f>IF(AR25="","",1-AR25)</f>
        <v/>
      </c>
      <c r="AS107">
        <f>IF(AS25="","",1-AS25)</f>
        <v/>
      </c>
      <c r="AT107">
        <f>IF(AT25="","",1-AT25)</f>
        <v/>
      </c>
      <c r="AU107">
        <f>IF(AU25="","",1-AU25)</f>
        <v/>
      </c>
      <c r="AV107">
        <f>IF(AV25="","",1-AV25)</f>
        <v/>
      </c>
      <c r="AW107">
        <f>IF(AW25="","",1-AW25)</f>
        <v/>
      </c>
      <c r="AX107">
        <f>IF(AX25="","",1-AX25)</f>
        <v/>
      </c>
      <c r="AY107">
        <f>IF(AY25="","",1-AY25)</f>
        <v/>
      </c>
      <c r="AZ107">
        <f>IF(AZ25="","",1-AZ25)</f>
        <v/>
      </c>
      <c r="BA107">
        <f>IF(BA25="","",1-BA25)</f>
        <v/>
      </c>
      <c r="BB107">
        <f>IF(BB25="","",1-BB25)</f>
        <v/>
      </c>
    </row>
    <row r="108">
      <c r="A108" s="16" t="inlineStr">
        <is>
          <t>Q21_1</t>
        </is>
      </c>
      <c r="B108" s="16" t="inlineStr">
        <is>
          <t>정보공유·의사소통</t>
        </is>
      </c>
      <c r="C108" s="46">
        <f>가중치!$F$23</f>
        <v/>
      </c>
      <c r="E108">
        <f>IF(E31="","",E31/5)</f>
        <v/>
      </c>
      <c r="F108">
        <f>IF(F31="","",F31/5)</f>
        <v/>
      </c>
      <c r="G108">
        <f>IF(G31="","",G31/5)</f>
        <v/>
      </c>
      <c r="H108">
        <f>IF(H31="","",H31/5)</f>
        <v/>
      </c>
      <c r="I108">
        <f>IF(I31="","",I31/5)</f>
        <v/>
      </c>
      <c r="J108">
        <f>IF(J31="","",J31/5)</f>
        <v/>
      </c>
      <c r="K108">
        <f>IF(K31="","",K31/5)</f>
        <v/>
      </c>
      <c r="L108">
        <f>IF(L31="","",L31/5)</f>
        <v/>
      </c>
      <c r="M108">
        <f>IF(M31="","",M31/5)</f>
        <v/>
      </c>
      <c r="N108">
        <f>IF(N31="","",N31/5)</f>
        <v/>
      </c>
      <c r="O108">
        <f>IF(O31="","",O31/5)</f>
        <v/>
      </c>
      <c r="P108">
        <f>IF(P31="","",P31/5)</f>
        <v/>
      </c>
      <c r="Q108">
        <f>IF(Q31="","",Q31/5)</f>
        <v/>
      </c>
      <c r="R108">
        <f>IF(R31="","",R31/5)</f>
        <v/>
      </c>
      <c r="S108">
        <f>IF(S31="","",S31/5)</f>
        <v/>
      </c>
      <c r="T108">
        <f>IF(T31="","",T31/5)</f>
        <v/>
      </c>
      <c r="U108">
        <f>IF(U31="","",U31/5)</f>
        <v/>
      </c>
      <c r="V108">
        <f>IF(V31="","",V31/5)</f>
        <v/>
      </c>
      <c r="W108">
        <f>IF(W31="","",W31/5)</f>
        <v/>
      </c>
      <c r="X108">
        <f>IF(X31="","",X31/5)</f>
        <v/>
      </c>
      <c r="Y108">
        <f>IF(Y31="","",Y31/5)</f>
        <v/>
      </c>
      <c r="Z108">
        <f>IF(Z31="","",Z31/5)</f>
        <v/>
      </c>
      <c r="AA108">
        <f>IF(AA31="","",AA31/5)</f>
        <v/>
      </c>
      <c r="AB108">
        <f>IF(AB31="","",AB31/5)</f>
        <v/>
      </c>
      <c r="AC108">
        <f>IF(AC31="","",AC31/5)</f>
        <v/>
      </c>
      <c r="AD108">
        <f>IF(AD31="","",AD31/5)</f>
        <v/>
      </c>
      <c r="AE108">
        <f>IF(AE31="","",AE31/5)</f>
        <v/>
      </c>
      <c r="AF108">
        <f>IF(AF31="","",AF31/5)</f>
        <v/>
      </c>
      <c r="AG108">
        <f>IF(AG31="","",AG31/5)</f>
        <v/>
      </c>
      <c r="AH108">
        <f>IF(AH31="","",AH31/5)</f>
        <v/>
      </c>
      <c r="AI108">
        <f>IF(AI31="","",AI31/5)</f>
        <v/>
      </c>
      <c r="AJ108">
        <f>IF(AJ31="","",AJ31/5)</f>
        <v/>
      </c>
      <c r="AK108">
        <f>IF(AK31="","",AK31/5)</f>
        <v/>
      </c>
      <c r="AL108">
        <f>IF(AL31="","",AL31/5)</f>
        <v/>
      </c>
      <c r="AM108">
        <f>IF(AM31="","",AM31/5)</f>
        <v/>
      </c>
      <c r="AN108">
        <f>IF(AN31="","",AN31/5)</f>
        <v/>
      </c>
      <c r="AO108">
        <f>IF(AO31="","",AO31/5)</f>
        <v/>
      </c>
      <c r="AP108">
        <f>IF(AP31="","",AP31/5)</f>
        <v/>
      </c>
      <c r="AQ108">
        <f>IF(AQ31="","",AQ31/5)</f>
        <v/>
      </c>
      <c r="AR108">
        <f>IF(AR31="","",AR31/5)</f>
        <v/>
      </c>
      <c r="AS108">
        <f>IF(AS31="","",AS31/5)</f>
        <v/>
      </c>
      <c r="AT108">
        <f>IF(AT31="","",AT31/5)</f>
        <v/>
      </c>
      <c r="AU108">
        <f>IF(AU31="","",AU31/5)</f>
        <v/>
      </c>
      <c r="AV108">
        <f>IF(AV31="","",AV31/5)</f>
        <v/>
      </c>
      <c r="AW108">
        <f>IF(AW31="","",AW31/5)</f>
        <v/>
      </c>
      <c r="AX108">
        <f>IF(AX31="","",AX31/5)</f>
        <v/>
      </c>
      <c r="AY108">
        <f>IF(AY31="","",AY31/5)</f>
        <v/>
      </c>
      <c r="AZ108">
        <f>IF(AZ31="","",AZ31/5)</f>
        <v/>
      </c>
      <c r="BA108">
        <f>IF(BA31="","",BA31/5)</f>
        <v/>
      </c>
      <c r="BB108">
        <f>IF(BB31="","",BB31/5)</f>
        <v/>
      </c>
    </row>
    <row r="109">
      <c r="A109" s="16" t="inlineStr">
        <is>
          <t>Q21_2</t>
        </is>
      </c>
      <c r="B109" s="16" t="inlineStr">
        <is>
          <t>정보공유·의사소통</t>
        </is>
      </c>
      <c r="C109" s="46">
        <f>가중치!$F$24</f>
        <v/>
      </c>
      <c r="E109">
        <f>IF(E32="","",E32/5)</f>
        <v/>
      </c>
      <c r="F109">
        <f>IF(F32="","",F32/5)</f>
        <v/>
      </c>
      <c r="G109">
        <f>IF(G32="","",G32/5)</f>
        <v/>
      </c>
      <c r="H109">
        <f>IF(H32="","",H32/5)</f>
        <v/>
      </c>
      <c r="I109">
        <f>IF(I32="","",I32/5)</f>
        <v/>
      </c>
      <c r="J109">
        <f>IF(J32="","",J32/5)</f>
        <v/>
      </c>
      <c r="K109">
        <f>IF(K32="","",K32/5)</f>
        <v/>
      </c>
      <c r="L109">
        <f>IF(L32="","",L32/5)</f>
        <v/>
      </c>
      <c r="M109">
        <f>IF(M32="","",M32/5)</f>
        <v/>
      </c>
      <c r="N109">
        <f>IF(N32="","",N32/5)</f>
        <v/>
      </c>
      <c r="O109">
        <f>IF(O32="","",O32/5)</f>
        <v/>
      </c>
      <c r="P109">
        <f>IF(P32="","",P32/5)</f>
        <v/>
      </c>
      <c r="Q109">
        <f>IF(Q32="","",Q32/5)</f>
        <v/>
      </c>
      <c r="R109">
        <f>IF(R32="","",R32/5)</f>
        <v/>
      </c>
      <c r="S109">
        <f>IF(S32="","",S32/5)</f>
        <v/>
      </c>
      <c r="T109">
        <f>IF(T32="","",T32/5)</f>
        <v/>
      </c>
      <c r="U109">
        <f>IF(U32="","",U32/5)</f>
        <v/>
      </c>
      <c r="V109">
        <f>IF(V32="","",V32/5)</f>
        <v/>
      </c>
      <c r="W109">
        <f>IF(W32="","",W32/5)</f>
        <v/>
      </c>
      <c r="X109">
        <f>IF(X32="","",X32/5)</f>
        <v/>
      </c>
      <c r="Y109">
        <f>IF(Y32="","",Y32/5)</f>
        <v/>
      </c>
      <c r="Z109">
        <f>IF(Z32="","",Z32/5)</f>
        <v/>
      </c>
      <c r="AA109">
        <f>IF(AA32="","",AA32/5)</f>
        <v/>
      </c>
      <c r="AB109">
        <f>IF(AB32="","",AB32/5)</f>
        <v/>
      </c>
      <c r="AC109">
        <f>IF(AC32="","",AC32/5)</f>
        <v/>
      </c>
      <c r="AD109">
        <f>IF(AD32="","",AD32/5)</f>
        <v/>
      </c>
      <c r="AE109">
        <f>IF(AE32="","",AE32/5)</f>
        <v/>
      </c>
      <c r="AF109">
        <f>IF(AF32="","",AF32/5)</f>
        <v/>
      </c>
      <c r="AG109">
        <f>IF(AG32="","",AG32/5)</f>
        <v/>
      </c>
      <c r="AH109">
        <f>IF(AH32="","",AH32/5)</f>
        <v/>
      </c>
      <c r="AI109">
        <f>IF(AI32="","",AI32/5)</f>
        <v/>
      </c>
      <c r="AJ109">
        <f>IF(AJ32="","",AJ32/5)</f>
        <v/>
      </c>
      <c r="AK109">
        <f>IF(AK32="","",AK32/5)</f>
        <v/>
      </c>
      <c r="AL109">
        <f>IF(AL32="","",AL32/5)</f>
        <v/>
      </c>
      <c r="AM109">
        <f>IF(AM32="","",AM32/5)</f>
        <v/>
      </c>
      <c r="AN109">
        <f>IF(AN32="","",AN32/5)</f>
        <v/>
      </c>
      <c r="AO109">
        <f>IF(AO32="","",AO32/5)</f>
        <v/>
      </c>
      <c r="AP109">
        <f>IF(AP32="","",AP32/5)</f>
        <v/>
      </c>
      <c r="AQ109">
        <f>IF(AQ32="","",AQ32/5)</f>
        <v/>
      </c>
      <c r="AR109">
        <f>IF(AR32="","",AR32/5)</f>
        <v/>
      </c>
      <c r="AS109">
        <f>IF(AS32="","",AS32/5)</f>
        <v/>
      </c>
      <c r="AT109">
        <f>IF(AT32="","",AT32/5)</f>
        <v/>
      </c>
      <c r="AU109">
        <f>IF(AU32="","",AU32/5)</f>
        <v/>
      </c>
      <c r="AV109">
        <f>IF(AV32="","",AV32/5)</f>
        <v/>
      </c>
      <c r="AW109">
        <f>IF(AW32="","",AW32/5)</f>
        <v/>
      </c>
      <c r="AX109">
        <f>IF(AX32="","",AX32/5)</f>
        <v/>
      </c>
      <c r="AY109">
        <f>IF(AY32="","",AY32/5)</f>
        <v/>
      </c>
      <c r="AZ109">
        <f>IF(AZ32="","",AZ32/5)</f>
        <v/>
      </c>
      <c r="BA109">
        <f>IF(BA32="","",BA32/5)</f>
        <v/>
      </c>
      <c r="BB109">
        <f>IF(BB32="","",BB32/5)</f>
        <v/>
      </c>
    </row>
    <row r="110">
      <c r="A110" s="16" t="inlineStr">
        <is>
          <t>Q21_3</t>
        </is>
      </c>
      <c r="B110" s="16" t="inlineStr">
        <is>
          <t>정보공유·의사소통</t>
        </is>
      </c>
      <c r="C110" s="46">
        <f>가중치!$F$25</f>
        <v/>
      </c>
      <c r="E110">
        <f>IF(E33="","",E33/5)</f>
        <v/>
      </c>
      <c r="F110">
        <f>IF(F33="","",F33/5)</f>
        <v/>
      </c>
      <c r="G110">
        <f>IF(G33="","",G33/5)</f>
        <v/>
      </c>
      <c r="H110">
        <f>IF(H33="","",H33/5)</f>
        <v/>
      </c>
      <c r="I110">
        <f>IF(I33="","",I33/5)</f>
        <v/>
      </c>
      <c r="J110">
        <f>IF(J33="","",J33/5)</f>
        <v/>
      </c>
      <c r="K110">
        <f>IF(K33="","",K33/5)</f>
        <v/>
      </c>
      <c r="L110">
        <f>IF(L33="","",L33/5)</f>
        <v/>
      </c>
      <c r="M110">
        <f>IF(M33="","",M33/5)</f>
        <v/>
      </c>
      <c r="N110">
        <f>IF(N33="","",N33/5)</f>
        <v/>
      </c>
      <c r="O110">
        <f>IF(O33="","",O33/5)</f>
        <v/>
      </c>
      <c r="P110">
        <f>IF(P33="","",P33/5)</f>
        <v/>
      </c>
      <c r="Q110">
        <f>IF(Q33="","",Q33/5)</f>
        <v/>
      </c>
      <c r="R110">
        <f>IF(R33="","",R33/5)</f>
        <v/>
      </c>
      <c r="S110">
        <f>IF(S33="","",S33/5)</f>
        <v/>
      </c>
      <c r="T110">
        <f>IF(T33="","",T33/5)</f>
        <v/>
      </c>
      <c r="U110">
        <f>IF(U33="","",U33/5)</f>
        <v/>
      </c>
      <c r="V110">
        <f>IF(V33="","",V33/5)</f>
        <v/>
      </c>
      <c r="W110">
        <f>IF(W33="","",W33/5)</f>
        <v/>
      </c>
      <c r="X110">
        <f>IF(X33="","",X33/5)</f>
        <v/>
      </c>
      <c r="Y110">
        <f>IF(Y33="","",Y33/5)</f>
        <v/>
      </c>
      <c r="Z110">
        <f>IF(Z33="","",Z33/5)</f>
        <v/>
      </c>
      <c r="AA110">
        <f>IF(AA33="","",AA33/5)</f>
        <v/>
      </c>
      <c r="AB110">
        <f>IF(AB33="","",AB33/5)</f>
        <v/>
      </c>
      <c r="AC110">
        <f>IF(AC33="","",AC33/5)</f>
        <v/>
      </c>
      <c r="AD110">
        <f>IF(AD33="","",AD33/5)</f>
        <v/>
      </c>
      <c r="AE110">
        <f>IF(AE33="","",AE33/5)</f>
        <v/>
      </c>
      <c r="AF110">
        <f>IF(AF33="","",AF33/5)</f>
        <v/>
      </c>
      <c r="AG110">
        <f>IF(AG33="","",AG33/5)</f>
        <v/>
      </c>
      <c r="AH110">
        <f>IF(AH33="","",AH33/5)</f>
        <v/>
      </c>
      <c r="AI110">
        <f>IF(AI33="","",AI33/5)</f>
        <v/>
      </c>
      <c r="AJ110">
        <f>IF(AJ33="","",AJ33/5)</f>
        <v/>
      </c>
      <c r="AK110">
        <f>IF(AK33="","",AK33/5)</f>
        <v/>
      </c>
      <c r="AL110">
        <f>IF(AL33="","",AL33/5)</f>
        <v/>
      </c>
      <c r="AM110">
        <f>IF(AM33="","",AM33/5)</f>
        <v/>
      </c>
      <c r="AN110">
        <f>IF(AN33="","",AN33/5)</f>
        <v/>
      </c>
      <c r="AO110">
        <f>IF(AO33="","",AO33/5)</f>
        <v/>
      </c>
      <c r="AP110">
        <f>IF(AP33="","",AP33/5)</f>
        <v/>
      </c>
      <c r="AQ110">
        <f>IF(AQ33="","",AQ33/5)</f>
        <v/>
      </c>
      <c r="AR110">
        <f>IF(AR33="","",AR33/5)</f>
        <v/>
      </c>
      <c r="AS110">
        <f>IF(AS33="","",AS33/5)</f>
        <v/>
      </c>
      <c r="AT110">
        <f>IF(AT33="","",AT33/5)</f>
        <v/>
      </c>
      <c r="AU110">
        <f>IF(AU33="","",AU33/5)</f>
        <v/>
      </c>
      <c r="AV110">
        <f>IF(AV33="","",AV33/5)</f>
        <v/>
      </c>
      <c r="AW110">
        <f>IF(AW33="","",AW33/5)</f>
        <v/>
      </c>
      <c r="AX110">
        <f>IF(AX33="","",AX33/5)</f>
        <v/>
      </c>
      <c r="AY110">
        <f>IF(AY33="","",AY33/5)</f>
        <v/>
      </c>
      <c r="AZ110">
        <f>IF(AZ33="","",AZ33/5)</f>
        <v/>
      </c>
      <c r="BA110">
        <f>IF(BA33="","",BA33/5)</f>
        <v/>
      </c>
      <c r="BB110">
        <f>IF(BB33="","",BB33/5)</f>
        <v/>
      </c>
    </row>
    <row r="111">
      <c r="A111" s="16" t="inlineStr">
        <is>
          <t>Q21_4</t>
        </is>
      </c>
      <c r="B111" s="16" t="inlineStr">
        <is>
          <t>정보공유·의사소통</t>
        </is>
      </c>
      <c r="C111" s="46">
        <f>가중치!$F$26</f>
        <v/>
      </c>
      <c r="E111">
        <f>IF(E34="","",E34/5)</f>
        <v/>
      </c>
      <c r="F111">
        <f>IF(F34="","",F34/5)</f>
        <v/>
      </c>
      <c r="G111">
        <f>IF(G34="","",G34/5)</f>
        <v/>
      </c>
      <c r="H111">
        <f>IF(H34="","",H34/5)</f>
        <v/>
      </c>
      <c r="I111">
        <f>IF(I34="","",I34/5)</f>
        <v/>
      </c>
      <c r="J111">
        <f>IF(J34="","",J34/5)</f>
        <v/>
      </c>
      <c r="K111">
        <f>IF(K34="","",K34/5)</f>
        <v/>
      </c>
      <c r="L111">
        <f>IF(L34="","",L34/5)</f>
        <v/>
      </c>
      <c r="M111">
        <f>IF(M34="","",M34/5)</f>
        <v/>
      </c>
      <c r="N111">
        <f>IF(N34="","",N34/5)</f>
        <v/>
      </c>
      <c r="O111">
        <f>IF(O34="","",O34/5)</f>
        <v/>
      </c>
      <c r="P111">
        <f>IF(P34="","",P34/5)</f>
        <v/>
      </c>
      <c r="Q111">
        <f>IF(Q34="","",Q34/5)</f>
        <v/>
      </c>
      <c r="R111">
        <f>IF(R34="","",R34/5)</f>
        <v/>
      </c>
      <c r="S111">
        <f>IF(S34="","",S34/5)</f>
        <v/>
      </c>
      <c r="T111">
        <f>IF(T34="","",T34/5)</f>
        <v/>
      </c>
      <c r="U111">
        <f>IF(U34="","",U34/5)</f>
        <v/>
      </c>
      <c r="V111">
        <f>IF(V34="","",V34/5)</f>
        <v/>
      </c>
      <c r="W111">
        <f>IF(W34="","",W34/5)</f>
        <v/>
      </c>
      <c r="X111">
        <f>IF(X34="","",X34/5)</f>
        <v/>
      </c>
      <c r="Y111">
        <f>IF(Y34="","",Y34/5)</f>
        <v/>
      </c>
      <c r="Z111">
        <f>IF(Z34="","",Z34/5)</f>
        <v/>
      </c>
      <c r="AA111">
        <f>IF(AA34="","",AA34/5)</f>
        <v/>
      </c>
      <c r="AB111">
        <f>IF(AB34="","",AB34/5)</f>
        <v/>
      </c>
      <c r="AC111">
        <f>IF(AC34="","",AC34/5)</f>
        <v/>
      </c>
      <c r="AD111">
        <f>IF(AD34="","",AD34/5)</f>
        <v/>
      </c>
      <c r="AE111">
        <f>IF(AE34="","",AE34/5)</f>
        <v/>
      </c>
      <c r="AF111">
        <f>IF(AF34="","",AF34/5)</f>
        <v/>
      </c>
      <c r="AG111">
        <f>IF(AG34="","",AG34/5)</f>
        <v/>
      </c>
      <c r="AH111">
        <f>IF(AH34="","",AH34/5)</f>
        <v/>
      </c>
      <c r="AI111">
        <f>IF(AI34="","",AI34/5)</f>
        <v/>
      </c>
      <c r="AJ111">
        <f>IF(AJ34="","",AJ34/5)</f>
        <v/>
      </c>
      <c r="AK111">
        <f>IF(AK34="","",AK34/5)</f>
        <v/>
      </c>
      <c r="AL111">
        <f>IF(AL34="","",AL34/5)</f>
        <v/>
      </c>
      <c r="AM111">
        <f>IF(AM34="","",AM34/5)</f>
        <v/>
      </c>
      <c r="AN111">
        <f>IF(AN34="","",AN34/5)</f>
        <v/>
      </c>
      <c r="AO111">
        <f>IF(AO34="","",AO34/5)</f>
        <v/>
      </c>
      <c r="AP111">
        <f>IF(AP34="","",AP34/5)</f>
        <v/>
      </c>
      <c r="AQ111">
        <f>IF(AQ34="","",AQ34/5)</f>
        <v/>
      </c>
      <c r="AR111">
        <f>IF(AR34="","",AR34/5)</f>
        <v/>
      </c>
      <c r="AS111">
        <f>IF(AS34="","",AS34/5)</f>
        <v/>
      </c>
      <c r="AT111">
        <f>IF(AT34="","",AT34/5)</f>
        <v/>
      </c>
      <c r="AU111">
        <f>IF(AU34="","",AU34/5)</f>
        <v/>
      </c>
      <c r="AV111">
        <f>IF(AV34="","",AV34/5)</f>
        <v/>
      </c>
      <c r="AW111">
        <f>IF(AW34="","",AW34/5)</f>
        <v/>
      </c>
      <c r="AX111">
        <f>IF(AX34="","",AX34/5)</f>
        <v/>
      </c>
      <c r="AY111">
        <f>IF(AY34="","",AY34/5)</f>
        <v/>
      </c>
      <c r="AZ111">
        <f>IF(AZ34="","",AZ34/5)</f>
        <v/>
      </c>
      <c r="BA111">
        <f>IF(BA34="","",BA34/5)</f>
        <v/>
      </c>
      <c r="BB111">
        <f>IF(BB34="","",BB34/5)</f>
        <v/>
      </c>
    </row>
    <row r="112">
      <c r="A112" s="16" t="inlineStr">
        <is>
          <t>Q21_5</t>
        </is>
      </c>
      <c r="B112" s="16" t="inlineStr">
        <is>
          <t>정보공유·의사소통</t>
        </is>
      </c>
      <c r="C112" s="46">
        <f>가중치!$F$27</f>
        <v/>
      </c>
      <c r="E112">
        <f>IF(E35="","",E35/5)</f>
        <v/>
      </c>
      <c r="F112">
        <f>IF(F35="","",F35/5)</f>
        <v/>
      </c>
      <c r="G112">
        <f>IF(G35="","",G35/5)</f>
        <v/>
      </c>
      <c r="H112">
        <f>IF(H35="","",H35/5)</f>
        <v/>
      </c>
      <c r="I112">
        <f>IF(I35="","",I35/5)</f>
        <v/>
      </c>
      <c r="J112">
        <f>IF(J35="","",J35/5)</f>
        <v/>
      </c>
      <c r="K112">
        <f>IF(K35="","",K35/5)</f>
        <v/>
      </c>
      <c r="L112">
        <f>IF(L35="","",L35/5)</f>
        <v/>
      </c>
      <c r="M112">
        <f>IF(M35="","",M35/5)</f>
        <v/>
      </c>
      <c r="N112">
        <f>IF(N35="","",N35/5)</f>
        <v/>
      </c>
      <c r="O112">
        <f>IF(O35="","",O35/5)</f>
        <v/>
      </c>
      <c r="P112">
        <f>IF(P35="","",P35/5)</f>
        <v/>
      </c>
      <c r="Q112">
        <f>IF(Q35="","",Q35/5)</f>
        <v/>
      </c>
      <c r="R112">
        <f>IF(R35="","",R35/5)</f>
        <v/>
      </c>
      <c r="S112">
        <f>IF(S35="","",S35/5)</f>
        <v/>
      </c>
      <c r="T112">
        <f>IF(T35="","",T35/5)</f>
        <v/>
      </c>
      <c r="U112">
        <f>IF(U35="","",U35/5)</f>
        <v/>
      </c>
      <c r="V112">
        <f>IF(V35="","",V35/5)</f>
        <v/>
      </c>
      <c r="W112">
        <f>IF(W35="","",W35/5)</f>
        <v/>
      </c>
      <c r="X112">
        <f>IF(X35="","",X35/5)</f>
        <v/>
      </c>
      <c r="Y112">
        <f>IF(Y35="","",Y35/5)</f>
        <v/>
      </c>
      <c r="Z112">
        <f>IF(Z35="","",Z35/5)</f>
        <v/>
      </c>
      <c r="AA112">
        <f>IF(AA35="","",AA35/5)</f>
        <v/>
      </c>
      <c r="AB112">
        <f>IF(AB35="","",AB35/5)</f>
        <v/>
      </c>
      <c r="AC112">
        <f>IF(AC35="","",AC35/5)</f>
        <v/>
      </c>
      <c r="AD112">
        <f>IF(AD35="","",AD35/5)</f>
        <v/>
      </c>
      <c r="AE112">
        <f>IF(AE35="","",AE35/5)</f>
        <v/>
      </c>
      <c r="AF112">
        <f>IF(AF35="","",AF35/5)</f>
        <v/>
      </c>
      <c r="AG112">
        <f>IF(AG35="","",AG35/5)</f>
        <v/>
      </c>
      <c r="AH112">
        <f>IF(AH35="","",AH35/5)</f>
        <v/>
      </c>
      <c r="AI112">
        <f>IF(AI35="","",AI35/5)</f>
        <v/>
      </c>
      <c r="AJ112">
        <f>IF(AJ35="","",AJ35/5)</f>
        <v/>
      </c>
      <c r="AK112">
        <f>IF(AK35="","",AK35/5)</f>
        <v/>
      </c>
      <c r="AL112">
        <f>IF(AL35="","",AL35/5)</f>
        <v/>
      </c>
      <c r="AM112">
        <f>IF(AM35="","",AM35/5)</f>
        <v/>
      </c>
      <c r="AN112">
        <f>IF(AN35="","",AN35/5)</f>
        <v/>
      </c>
      <c r="AO112">
        <f>IF(AO35="","",AO35/5)</f>
        <v/>
      </c>
      <c r="AP112">
        <f>IF(AP35="","",AP35/5)</f>
        <v/>
      </c>
      <c r="AQ112">
        <f>IF(AQ35="","",AQ35/5)</f>
        <v/>
      </c>
      <c r="AR112">
        <f>IF(AR35="","",AR35/5)</f>
        <v/>
      </c>
      <c r="AS112">
        <f>IF(AS35="","",AS35/5)</f>
        <v/>
      </c>
      <c r="AT112">
        <f>IF(AT35="","",AT35/5)</f>
        <v/>
      </c>
      <c r="AU112">
        <f>IF(AU35="","",AU35/5)</f>
        <v/>
      </c>
      <c r="AV112">
        <f>IF(AV35="","",AV35/5)</f>
        <v/>
      </c>
      <c r="AW112">
        <f>IF(AW35="","",AW35/5)</f>
        <v/>
      </c>
      <c r="AX112">
        <f>IF(AX35="","",AX35/5)</f>
        <v/>
      </c>
      <c r="AY112">
        <f>IF(AY35="","",AY35/5)</f>
        <v/>
      </c>
      <c r="AZ112">
        <f>IF(AZ35="","",AZ35/5)</f>
        <v/>
      </c>
      <c r="BA112">
        <f>IF(BA35="","",BA35/5)</f>
        <v/>
      </c>
      <c r="BB112">
        <f>IF(BB35="","",BB35/5)</f>
        <v/>
      </c>
    </row>
    <row r="113">
      <c r="A113" s="16" t="inlineStr">
        <is>
          <t>Q22_1</t>
        </is>
      </c>
      <c r="B113" s="16" t="inlineStr">
        <is>
          <t>정보공유·의사소통</t>
        </is>
      </c>
      <c r="C113" s="46">
        <f>가중치!$F$28</f>
        <v/>
      </c>
      <c r="E113">
        <f>IF(E36="","",E36/5)</f>
        <v/>
      </c>
      <c r="F113">
        <f>IF(F36="","",F36/5)</f>
        <v/>
      </c>
      <c r="G113">
        <f>IF(G36="","",G36/5)</f>
        <v/>
      </c>
      <c r="H113">
        <f>IF(H36="","",H36/5)</f>
        <v/>
      </c>
      <c r="I113">
        <f>IF(I36="","",I36/5)</f>
        <v/>
      </c>
      <c r="J113">
        <f>IF(J36="","",J36/5)</f>
        <v/>
      </c>
      <c r="K113">
        <f>IF(K36="","",K36/5)</f>
        <v/>
      </c>
      <c r="L113">
        <f>IF(L36="","",L36/5)</f>
        <v/>
      </c>
      <c r="M113">
        <f>IF(M36="","",M36/5)</f>
        <v/>
      </c>
      <c r="N113">
        <f>IF(N36="","",N36/5)</f>
        <v/>
      </c>
      <c r="O113">
        <f>IF(O36="","",O36/5)</f>
        <v/>
      </c>
      <c r="P113">
        <f>IF(P36="","",P36/5)</f>
        <v/>
      </c>
      <c r="Q113">
        <f>IF(Q36="","",Q36/5)</f>
        <v/>
      </c>
      <c r="R113">
        <f>IF(R36="","",R36/5)</f>
        <v/>
      </c>
      <c r="S113">
        <f>IF(S36="","",S36/5)</f>
        <v/>
      </c>
      <c r="T113">
        <f>IF(T36="","",T36/5)</f>
        <v/>
      </c>
      <c r="U113">
        <f>IF(U36="","",U36/5)</f>
        <v/>
      </c>
      <c r="V113">
        <f>IF(V36="","",V36/5)</f>
        <v/>
      </c>
      <c r="W113">
        <f>IF(W36="","",W36/5)</f>
        <v/>
      </c>
      <c r="X113">
        <f>IF(X36="","",X36/5)</f>
        <v/>
      </c>
      <c r="Y113">
        <f>IF(Y36="","",Y36/5)</f>
        <v/>
      </c>
      <c r="Z113">
        <f>IF(Z36="","",Z36/5)</f>
        <v/>
      </c>
      <c r="AA113">
        <f>IF(AA36="","",AA36/5)</f>
        <v/>
      </c>
      <c r="AB113">
        <f>IF(AB36="","",AB36/5)</f>
        <v/>
      </c>
      <c r="AC113">
        <f>IF(AC36="","",AC36/5)</f>
        <v/>
      </c>
      <c r="AD113">
        <f>IF(AD36="","",AD36/5)</f>
        <v/>
      </c>
      <c r="AE113">
        <f>IF(AE36="","",AE36/5)</f>
        <v/>
      </c>
      <c r="AF113">
        <f>IF(AF36="","",AF36/5)</f>
        <v/>
      </c>
      <c r="AG113">
        <f>IF(AG36="","",AG36/5)</f>
        <v/>
      </c>
      <c r="AH113">
        <f>IF(AH36="","",AH36/5)</f>
        <v/>
      </c>
      <c r="AI113">
        <f>IF(AI36="","",AI36/5)</f>
        <v/>
      </c>
      <c r="AJ113">
        <f>IF(AJ36="","",AJ36/5)</f>
        <v/>
      </c>
      <c r="AK113">
        <f>IF(AK36="","",AK36/5)</f>
        <v/>
      </c>
      <c r="AL113">
        <f>IF(AL36="","",AL36/5)</f>
        <v/>
      </c>
      <c r="AM113">
        <f>IF(AM36="","",AM36/5)</f>
        <v/>
      </c>
      <c r="AN113">
        <f>IF(AN36="","",AN36/5)</f>
        <v/>
      </c>
      <c r="AO113">
        <f>IF(AO36="","",AO36/5)</f>
        <v/>
      </c>
      <c r="AP113">
        <f>IF(AP36="","",AP36/5)</f>
        <v/>
      </c>
      <c r="AQ113">
        <f>IF(AQ36="","",AQ36/5)</f>
        <v/>
      </c>
      <c r="AR113">
        <f>IF(AR36="","",AR36/5)</f>
        <v/>
      </c>
      <c r="AS113">
        <f>IF(AS36="","",AS36/5)</f>
        <v/>
      </c>
      <c r="AT113">
        <f>IF(AT36="","",AT36/5)</f>
        <v/>
      </c>
      <c r="AU113">
        <f>IF(AU36="","",AU36/5)</f>
        <v/>
      </c>
      <c r="AV113">
        <f>IF(AV36="","",AV36/5)</f>
        <v/>
      </c>
      <c r="AW113">
        <f>IF(AW36="","",AW36/5)</f>
        <v/>
      </c>
      <c r="AX113">
        <f>IF(AX36="","",AX36/5)</f>
        <v/>
      </c>
      <c r="AY113">
        <f>IF(AY36="","",AY36/5)</f>
        <v/>
      </c>
      <c r="AZ113">
        <f>IF(AZ36="","",AZ36/5)</f>
        <v/>
      </c>
      <c r="BA113">
        <f>IF(BA36="","",BA36/5)</f>
        <v/>
      </c>
      <c r="BB113">
        <f>IF(BB36="","",BB36/5)</f>
        <v/>
      </c>
    </row>
    <row r="114">
      <c r="A114" s="16" t="inlineStr">
        <is>
          <t>Q22_2</t>
        </is>
      </c>
      <c r="B114" s="16" t="inlineStr">
        <is>
          <t>정보공유·의사소통</t>
        </is>
      </c>
      <c r="C114" s="46">
        <f>가중치!$F$29</f>
        <v/>
      </c>
      <c r="E114">
        <f>IF(E37="","",E37/5)</f>
        <v/>
      </c>
      <c r="F114">
        <f>IF(F37="","",F37/5)</f>
        <v/>
      </c>
      <c r="G114">
        <f>IF(G37="","",G37/5)</f>
        <v/>
      </c>
      <c r="H114">
        <f>IF(H37="","",H37/5)</f>
        <v/>
      </c>
      <c r="I114">
        <f>IF(I37="","",I37/5)</f>
        <v/>
      </c>
      <c r="J114">
        <f>IF(J37="","",J37/5)</f>
        <v/>
      </c>
      <c r="K114">
        <f>IF(K37="","",K37/5)</f>
        <v/>
      </c>
      <c r="L114">
        <f>IF(L37="","",L37/5)</f>
        <v/>
      </c>
      <c r="M114">
        <f>IF(M37="","",M37/5)</f>
        <v/>
      </c>
      <c r="N114">
        <f>IF(N37="","",N37/5)</f>
        <v/>
      </c>
      <c r="O114">
        <f>IF(O37="","",O37/5)</f>
        <v/>
      </c>
      <c r="P114">
        <f>IF(P37="","",P37/5)</f>
        <v/>
      </c>
      <c r="Q114">
        <f>IF(Q37="","",Q37/5)</f>
        <v/>
      </c>
      <c r="R114">
        <f>IF(R37="","",R37/5)</f>
        <v/>
      </c>
      <c r="S114">
        <f>IF(S37="","",S37/5)</f>
        <v/>
      </c>
      <c r="T114">
        <f>IF(T37="","",T37/5)</f>
        <v/>
      </c>
      <c r="U114">
        <f>IF(U37="","",U37/5)</f>
        <v/>
      </c>
      <c r="V114">
        <f>IF(V37="","",V37/5)</f>
        <v/>
      </c>
      <c r="W114">
        <f>IF(W37="","",W37/5)</f>
        <v/>
      </c>
      <c r="X114">
        <f>IF(X37="","",X37/5)</f>
        <v/>
      </c>
      <c r="Y114">
        <f>IF(Y37="","",Y37/5)</f>
        <v/>
      </c>
      <c r="Z114">
        <f>IF(Z37="","",Z37/5)</f>
        <v/>
      </c>
      <c r="AA114">
        <f>IF(AA37="","",AA37/5)</f>
        <v/>
      </c>
      <c r="AB114">
        <f>IF(AB37="","",AB37/5)</f>
        <v/>
      </c>
      <c r="AC114">
        <f>IF(AC37="","",AC37/5)</f>
        <v/>
      </c>
      <c r="AD114">
        <f>IF(AD37="","",AD37/5)</f>
        <v/>
      </c>
      <c r="AE114">
        <f>IF(AE37="","",AE37/5)</f>
        <v/>
      </c>
      <c r="AF114">
        <f>IF(AF37="","",AF37/5)</f>
        <v/>
      </c>
      <c r="AG114">
        <f>IF(AG37="","",AG37/5)</f>
        <v/>
      </c>
      <c r="AH114">
        <f>IF(AH37="","",AH37/5)</f>
        <v/>
      </c>
      <c r="AI114">
        <f>IF(AI37="","",AI37/5)</f>
        <v/>
      </c>
      <c r="AJ114">
        <f>IF(AJ37="","",AJ37/5)</f>
        <v/>
      </c>
      <c r="AK114">
        <f>IF(AK37="","",AK37/5)</f>
        <v/>
      </c>
      <c r="AL114">
        <f>IF(AL37="","",AL37/5)</f>
        <v/>
      </c>
      <c r="AM114">
        <f>IF(AM37="","",AM37/5)</f>
        <v/>
      </c>
      <c r="AN114">
        <f>IF(AN37="","",AN37/5)</f>
        <v/>
      </c>
      <c r="AO114">
        <f>IF(AO37="","",AO37/5)</f>
        <v/>
      </c>
      <c r="AP114">
        <f>IF(AP37="","",AP37/5)</f>
        <v/>
      </c>
      <c r="AQ114">
        <f>IF(AQ37="","",AQ37/5)</f>
        <v/>
      </c>
      <c r="AR114">
        <f>IF(AR37="","",AR37/5)</f>
        <v/>
      </c>
      <c r="AS114">
        <f>IF(AS37="","",AS37/5)</f>
        <v/>
      </c>
      <c r="AT114">
        <f>IF(AT37="","",AT37/5)</f>
        <v/>
      </c>
      <c r="AU114">
        <f>IF(AU37="","",AU37/5)</f>
        <v/>
      </c>
      <c r="AV114">
        <f>IF(AV37="","",AV37/5)</f>
        <v/>
      </c>
      <c r="AW114">
        <f>IF(AW37="","",AW37/5)</f>
        <v/>
      </c>
      <c r="AX114">
        <f>IF(AX37="","",AX37/5)</f>
        <v/>
      </c>
      <c r="AY114">
        <f>IF(AY37="","",AY37/5)</f>
        <v/>
      </c>
      <c r="AZ114">
        <f>IF(AZ37="","",AZ37/5)</f>
        <v/>
      </c>
      <c r="BA114">
        <f>IF(BA37="","",BA37/5)</f>
        <v/>
      </c>
      <c r="BB114">
        <f>IF(BB37="","",BB37/5)</f>
        <v/>
      </c>
    </row>
    <row r="115">
      <c r="A115" s="16" t="inlineStr">
        <is>
          <t>Q22_3</t>
        </is>
      </c>
      <c r="B115" s="16" t="inlineStr">
        <is>
          <t>정보공유·의사소통</t>
        </is>
      </c>
      <c r="C115" s="46">
        <f>가중치!$F$30</f>
        <v/>
      </c>
      <c r="E115">
        <f>IF(E38="","",E38/5)</f>
        <v/>
      </c>
      <c r="F115">
        <f>IF(F38="","",F38/5)</f>
        <v/>
      </c>
      <c r="G115">
        <f>IF(G38="","",G38/5)</f>
        <v/>
      </c>
      <c r="H115">
        <f>IF(H38="","",H38/5)</f>
        <v/>
      </c>
      <c r="I115">
        <f>IF(I38="","",I38/5)</f>
        <v/>
      </c>
      <c r="J115">
        <f>IF(J38="","",J38/5)</f>
        <v/>
      </c>
      <c r="K115">
        <f>IF(K38="","",K38/5)</f>
        <v/>
      </c>
      <c r="L115">
        <f>IF(L38="","",L38/5)</f>
        <v/>
      </c>
      <c r="M115">
        <f>IF(M38="","",M38/5)</f>
        <v/>
      </c>
      <c r="N115">
        <f>IF(N38="","",N38/5)</f>
        <v/>
      </c>
      <c r="O115">
        <f>IF(O38="","",O38/5)</f>
        <v/>
      </c>
      <c r="P115">
        <f>IF(P38="","",P38/5)</f>
        <v/>
      </c>
      <c r="Q115">
        <f>IF(Q38="","",Q38/5)</f>
        <v/>
      </c>
      <c r="R115">
        <f>IF(R38="","",R38/5)</f>
        <v/>
      </c>
      <c r="S115">
        <f>IF(S38="","",S38/5)</f>
        <v/>
      </c>
      <c r="T115">
        <f>IF(T38="","",T38/5)</f>
        <v/>
      </c>
      <c r="U115">
        <f>IF(U38="","",U38/5)</f>
        <v/>
      </c>
      <c r="V115">
        <f>IF(V38="","",V38/5)</f>
        <v/>
      </c>
      <c r="W115">
        <f>IF(W38="","",W38/5)</f>
        <v/>
      </c>
      <c r="X115">
        <f>IF(X38="","",X38/5)</f>
        <v/>
      </c>
      <c r="Y115">
        <f>IF(Y38="","",Y38/5)</f>
        <v/>
      </c>
      <c r="Z115">
        <f>IF(Z38="","",Z38/5)</f>
        <v/>
      </c>
      <c r="AA115">
        <f>IF(AA38="","",AA38/5)</f>
        <v/>
      </c>
      <c r="AB115">
        <f>IF(AB38="","",AB38/5)</f>
        <v/>
      </c>
      <c r="AC115">
        <f>IF(AC38="","",AC38/5)</f>
        <v/>
      </c>
      <c r="AD115">
        <f>IF(AD38="","",AD38/5)</f>
        <v/>
      </c>
      <c r="AE115">
        <f>IF(AE38="","",AE38/5)</f>
        <v/>
      </c>
      <c r="AF115">
        <f>IF(AF38="","",AF38/5)</f>
        <v/>
      </c>
      <c r="AG115">
        <f>IF(AG38="","",AG38/5)</f>
        <v/>
      </c>
      <c r="AH115">
        <f>IF(AH38="","",AH38/5)</f>
        <v/>
      </c>
      <c r="AI115">
        <f>IF(AI38="","",AI38/5)</f>
        <v/>
      </c>
      <c r="AJ115">
        <f>IF(AJ38="","",AJ38/5)</f>
        <v/>
      </c>
      <c r="AK115">
        <f>IF(AK38="","",AK38/5)</f>
        <v/>
      </c>
      <c r="AL115">
        <f>IF(AL38="","",AL38/5)</f>
        <v/>
      </c>
      <c r="AM115">
        <f>IF(AM38="","",AM38/5)</f>
        <v/>
      </c>
      <c r="AN115">
        <f>IF(AN38="","",AN38/5)</f>
        <v/>
      </c>
      <c r="AO115">
        <f>IF(AO38="","",AO38/5)</f>
        <v/>
      </c>
      <c r="AP115">
        <f>IF(AP38="","",AP38/5)</f>
        <v/>
      </c>
      <c r="AQ115">
        <f>IF(AQ38="","",AQ38/5)</f>
        <v/>
      </c>
      <c r="AR115">
        <f>IF(AR38="","",AR38/5)</f>
        <v/>
      </c>
      <c r="AS115">
        <f>IF(AS38="","",AS38/5)</f>
        <v/>
      </c>
      <c r="AT115">
        <f>IF(AT38="","",AT38/5)</f>
        <v/>
      </c>
      <c r="AU115">
        <f>IF(AU38="","",AU38/5)</f>
        <v/>
      </c>
      <c r="AV115">
        <f>IF(AV38="","",AV38/5)</f>
        <v/>
      </c>
      <c r="AW115">
        <f>IF(AW38="","",AW38/5)</f>
        <v/>
      </c>
      <c r="AX115">
        <f>IF(AX38="","",AX38/5)</f>
        <v/>
      </c>
      <c r="AY115">
        <f>IF(AY38="","",AY38/5)</f>
        <v/>
      </c>
      <c r="AZ115">
        <f>IF(AZ38="","",AZ38/5)</f>
        <v/>
      </c>
      <c r="BA115">
        <f>IF(BA38="","",BA38/5)</f>
        <v/>
      </c>
      <c r="BB115">
        <f>IF(BB38="","",BB38/5)</f>
        <v/>
      </c>
    </row>
    <row r="116">
      <c r="A116" s="16" t="inlineStr">
        <is>
          <t>Q22_4</t>
        </is>
      </c>
      <c r="B116" s="16" t="inlineStr">
        <is>
          <t>정보공유·의사소통</t>
        </is>
      </c>
      <c r="C116" s="46">
        <f>가중치!$F$31</f>
        <v/>
      </c>
      <c r="E116">
        <f>IF(E39="","",E39/5)</f>
        <v/>
      </c>
      <c r="F116">
        <f>IF(F39="","",F39/5)</f>
        <v/>
      </c>
      <c r="G116">
        <f>IF(G39="","",G39/5)</f>
        <v/>
      </c>
      <c r="H116">
        <f>IF(H39="","",H39/5)</f>
        <v/>
      </c>
      <c r="I116">
        <f>IF(I39="","",I39/5)</f>
        <v/>
      </c>
      <c r="J116">
        <f>IF(J39="","",J39/5)</f>
        <v/>
      </c>
      <c r="K116">
        <f>IF(K39="","",K39/5)</f>
        <v/>
      </c>
      <c r="L116">
        <f>IF(L39="","",L39/5)</f>
        <v/>
      </c>
      <c r="M116">
        <f>IF(M39="","",M39/5)</f>
        <v/>
      </c>
      <c r="N116">
        <f>IF(N39="","",N39/5)</f>
        <v/>
      </c>
      <c r="O116">
        <f>IF(O39="","",O39/5)</f>
        <v/>
      </c>
      <c r="P116">
        <f>IF(P39="","",P39/5)</f>
        <v/>
      </c>
      <c r="Q116">
        <f>IF(Q39="","",Q39/5)</f>
        <v/>
      </c>
      <c r="R116">
        <f>IF(R39="","",R39/5)</f>
        <v/>
      </c>
      <c r="S116">
        <f>IF(S39="","",S39/5)</f>
        <v/>
      </c>
      <c r="T116">
        <f>IF(T39="","",T39/5)</f>
        <v/>
      </c>
      <c r="U116">
        <f>IF(U39="","",U39/5)</f>
        <v/>
      </c>
      <c r="V116">
        <f>IF(V39="","",V39/5)</f>
        <v/>
      </c>
      <c r="W116">
        <f>IF(W39="","",W39/5)</f>
        <v/>
      </c>
      <c r="X116">
        <f>IF(X39="","",X39/5)</f>
        <v/>
      </c>
      <c r="Y116">
        <f>IF(Y39="","",Y39/5)</f>
        <v/>
      </c>
      <c r="Z116">
        <f>IF(Z39="","",Z39/5)</f>
        <v/>
      </c>
      <c r="AA116">
        <f>IF(AA39="","",AA39/5)</f>
        <v/>
      </c>
      <c r="AB116">
        <f>IF(AB39="","",AB39/5)</f>
        <v/>
      </c>
      <c r="AC116">
        <f>IF(AC39="","",AC39/5)</f>
        <v/>
      </c>
      <c r="AD116">
        <f>IF(AD39="","",AD39/5)</f>
        <v/>
      </c>
      <c r="AE116">
        <f>IF(AE39="","",AE39/5)</f>
        <v/>
      </c>
      <c r="AF116">
        <f>IF(AF39="","",AF39/5)</f>
        <v/>
      </c>
      <c r="AG116">
        <f>IF(AG39="","",AG39/5)</f>
        <v/>
      </c>
      <c r="AH116">
        <f>IF(AH39="","",AH39/5)</f>
        <v/>
      </c>
      <c r="AI116">
        <f>IF(AI39="","",AI39/5)</f>
        <v/>
      </c>
      <c r="AJ116">
        <f>IF(AJ39="","",AJ39/5)</f>
        <v/>
      </c>
      <c r="AK116">
        <f>IF(AK39="","",AK39/5)</f>
        <v/>
      </c>
      <c r="AL116">
        <f>IF(AL39="","",AL39/5)</f>
        <v/>
      </c>
      <c r="AM116">
        <f>IF(AM39="","",AM39/5)</f>
        <v/>
      </c>
      <c r="AN116">
        <f>IF(AN39="","",AN39/5)</f>
        <v/>
      </c>
      <c r="AO116">
        <f>IF(AO39="","",AO39/5)</f>
        <v/>
      </c>
      <c r="AP116">
        <f>IF(AP39="","",AP39/5)</f>
        <v/>
      </c>
      <c r="AQ116">
        <f>IF(AQ39="","",AQ39/5)</f>
        <v/>
      </c>
      <c r="AR116">
        <f>IF(AR39="","",AR39/5)</f>
        <v/>
      </c>
      <c r="AS116">
        <f>IF(AS39="","",AS39/5)</f>
        <v/>
      </c>
      <c r="AT116">
        <f>IF(AT39="","",AT39/5)</f>
        <v/>
      </c>
      <c r="AU116">
        <f>IF(AU39="","",AU39/5)</f>
        <v/>
      </c>
      <c r="AV116">
        <f>IF(AV39="","",AV39/5)</f>
        <v/>
      </c>
      <c r="AW116">
        <f>IF(AW39="","",AW39/5)</f>
        <v/>
      </c>
      <c r="AX116">
        <f>IF(AX39="","",AX39/5)</f>
        <v/>
      </c>
      <c r="AY116">
        <f>IF(AY39="","",AY39/5)</f>
        <v/>
      </c>
      <c r="AZ116">
        <f>IF(AZ39="","",AZ39/5)</f>
        <v/>
      </c>
      <c r="BA116">
        <f>IF(BA39="","",BA39/5)</f>
        <v/>
      </c>
      <c r="BB116">
        <f>IF(BB39="","",BB39/5)</f>
        <v/>
      </c>
    </row>
    <row r="117">
      <c r="A117" s="16" t="inlineStr">
        <is>
          <t>Q19_1</t>
        </is>
      </c>
      <c r="B117" s="16" t="inlineStr">
        <is>
          <t>고충처리</t>
        </is>
      </c>
      <c r="C117" s="46">
        <f>가중치!$F$32</f>
        <v/>
      </c>
      <c r="E117">
        <f>IF(E26="","",E26/5)</f>
        <v/>
      </c>
      <c r="F117">
        <f>IF(F26="","",F26/5)</f>
        <v/>
      </c>
      <c r="G117">
        <f>IF(G26="","",G26/5)</f>
        <v/>
      </c>
      <c r="H117">
        <f>IF(H26="","",H26/5)</f>
        <v/>
      </c>
      <c r="I117">
        <f>IF(I26="","",I26/5)</f>
        <v/>
      </c>
      <c r="J117">
        <f>IF(J26="","",J26/5)</f>
        <v/>
      </c>
      <c r="K117">
        <f>IF(K26="","",K26/5)</f>
        <v/>
      </c>
      <c r="L117">
        <f>IF(L26="","",L26/5)</f>
        <v/>
      </c>
      <c r="M117">
        <f>IF(M26="","",M26/5)</f>
        <v/>
      </c>
      <c r="N117">
        <f>IF(N26="","",N26/5)</f>
        <v/>
      </c>
      <c r="O117">
        <f>IF(O26="","",O26/5)</f>
        <v/>
      </c>
      <c r="P117">
        <f>IF(P26="","",P26/5)</f>
        <v/>
      </c>
      <c r="Q117">
        <f>IF(Q26="","",Q26/5)</f>
        <v/>
      </c>
      <c r="R117">
        <f>IF(R26="","",R26/5)</f>
        <v/>
      </c>
      <c r="S117">
        <f>IF(S26="","",S26/5)</f>
        <v/>
      </c>
      <c r="T117">
        <f>IF(T26="","",T26/5)</f>
        <v/>
      </c>
      <c r="U117">
        <f>IF(U26="","",U26/5)</f>
        <v/>
      </c>
      <c r="V117">
        <f>IF(V26="","",V26/5)</f>
        <v/>
      </c>
      <c r="W117">
        <f>IF(W26="","",W26/5)</f>
        <v/>
      </c>
      <c r="X117">
        <f>IF(X26="","",X26/5)</f>
        <v/>
      </c>
      <c r="Y117">
        <f>IF(Y26="","",Y26/5)</f>
        <v/>
      </c>
      <c r="Z117">
        <f>IF(Z26="","",Z26/5)</f>
        <v/>
      </c>
      <c r="AA117">
        <f>IF(AA26="","",AA26/5)</f>
        <v/>
      </c>
      <c r="AB117">
        <f>IF(AB26="","",AB26/5)</f>
        <v/>
      </c>
      <c r="AC117">
        <f>IF(AC26="","",AC26/5)</f>
        <v/>
      </c>
      <c r="AD117">
        <f>IF(AD26="","",AD26/5)</f>
        <v/>
      </c>
      <c r="AE117">
        <f>IF(AE26="","",AE26/5)</f>
        <v/>
      </c>
      <c r="AF117">
        <f>IF(AF26="","",AF26/5)</f>
        <v/>
      </c>
      <c r="AG117">
        <f>IF(AG26="","",AG26/5)</f>
        <v/>
      </c>
      <c r="AH117">
        <f>IF(AH26="","",AH26/5)</f>
        <v/>
      </c>
      <c r="AI117">
        <f>IF(AI26="","",AI26/5)</f>
        <v/>
      </c>
      <c r="AJ117">
        <f>IF(AJ26="","",AJ26/5)</f>
        <v/>
      </c>
      <c r="AK117">
        <f>IF(AK26="","",AK26/5)</f>
        <v/>
      </c>
      <c r="AL117">
        <f>IF(AL26="","",AL26/5)</f>
        <v/>
      </c>
      <c r="AM117">
        <f>IF(AM26="","",AM26/5)</f>
        <v/>
      </c>
      <c r="AN117">
        <f>IF(AN26="","",AN26/5)</f>
        <v/>
      </c>
      <c r="AO117">
        <f>IF(AO26="","",AO26/5)</f>
        <v/>
      </c>
      <c r="AP117">
        <f>IF(AP26="","",AP26/5)</f>
        <v/>
      </c>
      <c r="AQ117">
        <f>IF(AQ26="","",AQ26/5)</f>
        <v/>
      </c>
      <c r="AR117">
        <f>IF(AR26="","",AR26/5)</f>
        <v/>
      </c>
      <c r="AS117">
        <f>IF(AS26="","",AS26/5)</f>
        <v/>
      </c>
      <c r="AT117">
        <f>IF(AT26="","",AT26/5)</f>
        <v/>
      </c>
      <c r="AU117">
        <f>IF(AU26="","",AU26/5)</f>
        <v/>
      </c>
      <c r="AV117">
        <f>IF(AV26="","",AV26/5)</f>
        <v/>
      </c>
      <c r="AW117">
        <f>IF(AW26="","",AW26/5)</f>
        <v/>
      </c>
      <c r="AX117">
        <f>IF(AX26="","",AX26/5)</f>
        <v/>
      </c>
      <c r="AY117">
        <f>IF(AY26="","",AY26/5)</f>
        <v/>
      </c>
      <c r="AZ117">
        <f>IF(AZ26="","",AZ26/5)</f>
        <v/>
      </c>
      <c r="BA117">
        <f>IF(BA26="","",BA26/5)</f>
        <v/>
      </c>
      <c r="BB117">
        <f>IF(BB26="","",BB26/5)</f>
        <v/>
      </c>
    </row>
    <row r="118">
      <c r="A118" s="16" t="inlineStr">
        <is>
          <t>Q19_2</t>
        </is>
      </c>
      <c r="B118" s="16" t="inlineStr">
        <is>
          <t>고충처리</t>
        </is>
      </c>
      <c r="C118" s="46">
        <f>가중치!$F$33</f>
        <v/>
      </c>
      <c r="E118">
        <f>IF(E27="","",E27/5)</f>
        <v/>
      </c>
      <c r="F118">
        <f>IF(F27="","",F27/5)</f>
        <v/>
      </c>
      <c r="G118">
        <f>IF(G27="","",G27/5)</f>
        <v/>
      </c>
      <c r="H118">
        <f>IF(H27="","",H27/5)</f>
        <v/>
      </c>
      <c r="I118">
        <f>IF(I27="","",I27/5)</f>
        <v/>
      </c>
      <c r="J118">
        <f>IF(J27="","",J27/5)</f>
        <v/>
      </c>
      <c r="K118">
        <f>IF(K27="","",K27/5)</f>
        <v/>
      </c>
      <c r="L118">
        <f>IF(L27="","",L27/5)</f>
        <v/>
      </c>
      <c r="M118">
        <f>IF(M27="","",M27/5)</f>
        <v/>
      </c>
      <c r="N118">
        <f>IF(N27="","",N27/5)</f>
        <v/>
      </c>
      <c r="O118">
        <f>IF(O27="","",O27/5)</f>
        <v/>
      </c>
      <c r="P118">
        <f>IF(P27="","",P27/5)</f>
        <v/>
      </c>
      <c r="Q118">
        <f>IF(Q27="","",Q27/5)</f>
        <v/>
      </c>
      <c r="R118">
        <f>IF(R27="","",R27/5)</f>
        <v/>
      </c>
      <c r="S118">
        <f>IF(S27="","",S27/5)</f>
        <v/>
      </c>
      <c r="T118">
        <f>IF(T27="","",T27/5)</f>
        <v/>
      </c>
      <c r="U118">
        <f>IF(U27="","",U27/5)</f>
        <v/>
      </c>
      <c r="V118">
        <f>IF(V27="","",V27/5)</f>
        <v/>
      </c>
      <c r="W118">
        <f>IF(W27="","",W27/5)</f>
        <v/>
      </c>
      <c r="X118">
        <f>IF(X27="","",X27/5)</f>
        <v/>
      </c>
      <c r="Y118">
        <f>IF(Y27="","",Y27/5)</f>
        <v/>
      </c>
      <c r="Z118">
        <f>IF(Z27="","",Z27/5)</f>
        <v/>
      </c>
      <c r="AA118">
        <f>IF(AA27="","",AA27/5)</f>
        <v/>
      </c>
      <c r="AB118">
        <f>IF(AB27="","",AB27/5)</f>
        <v/>
      </c>
      <c r="AC118">
        <f>IF(AC27="","",AC27/5)</f>
        <v/>
      </c>
      <c r="AD118">
        <f>IF(AD27="","",AD27/5)</f>
        <v/>
      </c>
      <c r="AE118">
        <f>IF(AE27="","",AE27/5)</f>
        <v/>
      </c>
      <c r="AF118">
        <f>IF(AF27="","",AF27/5)</f>
        <v/>
      </c>
      <c r="AG118">
        <f>IF(AG27="","",AG27/5)</f>
        <v/>
      </c>
      <c r="AH118">
        <f>IF(AH27="","",AH27/5)</f>
        <v/>
      </c>
      <c r="AI118">
        <f>IF(AI27="","",AI27/5)</f>
        <v/>
      </c>
      <c r="AJ118">
        <f>IF(AJ27="","",AJ27/5)</f>
        <v/>
      </c>
      <c r="AK118">
        <f>IF(AK27="","",AK27/5)</f>
        <v/>
      </c>
      <c r="AL118">
        <f>IF(AL27="","",AL27/5)</f>
        <v/>
      </c>
      <c r="AM118">
        <f>IF(AM27="","",AM27/5)</f>
        <v/>
      </c>
      <c r="AN118">
        <f>IF(AN27="","",AN27/5)</f>
        <v/>
      </c>
      <c r="AO118">
        <f>IF(AO27="","",AO27/5)</f>
        <v/>
      </c>
      <c r="AP118">
        <f>IF(AP27="","",AP27/5)</f>
        <v/>
      </c>
      <c r="AQ118">
        <f>IF(AQ27="","",AQ27/5)</f>
        <v/>
      </c>
      <c r="AR118">
        <f>IF(AR27="","",AR27/5)</f>
        <v/>
      </c>
      <c r="AS118">
        <f>IF(AS27="","",AS27/5)</f>
        <v/>
      </c>
      <c r="AT118">
        <f>IF(AT27="","",AT27/5)</f>
        <v/>
      </c>
      <c r="AU118">
        <f>IF(AU27="","",AU27/5)</f>
        <v/>
      </c>
      <c r="AV118">
        <f>IF(AV27="","",AV27/5)</f>
        <v/>
      </c>
      <c r="AW118">
        <f>IF(AW27="","",AW27/5)</f>
        <v/>
      </c>
      <c r="AX118">
        <f>IF(AX27="","",AX27/5)</f>
        <v/>
      </c>
      <c r="AY118">
        <f>IF(AY27="","",AY27/5)</f>
        <v/>
      </c>
      <c r="AZ118">
        <f>IF(AZ27="","",AZ27/5)</f>
        <v/>
      </c>
      <c r="BA118">
        <f>IF(BA27="","",BA27/5)</f>
        <v/>
      </c>
      <c r="BB118">
        <f>IF(BB27="","",BB27/5)</f>
        <v/>
      </c>
    </row>
    <row r="119">
      <c r="A119" s="16" t="inlineStr">
        <is>
          <t>Q19_3</t>
        </is>
      </c>
      <c r="B119" s="16" t="inlineStr">
        <is>
          <t>고충처리</t>
        </is>
      </c>
      <c r="C119" s="46">
        <f>가중치!$F$34</f>
        <v/>
      </c>
      <c r="E119">
        <f>IF(E28="","",E28/5)</f>
        <v/>
      </c>
      <c r="F119">
        <f>IF(F28="","",F28/5)</f>
        <v/>
      </c>
      <c r="G119">
        <f>IF(G28="","",G28/5)</f>
        <v/>
      </c>
      <c r="H119">
        <f>IF(H28="","",H28/5)</f>
        <v/>
      </c>
      <c r="I119">
        <f>IF(I28="","",I28/5)</f>
        <v/>
      </c>
      <c r="J119">
        <f>IF(J28="","",J28/5)</f>
        <v/>
      </c>
      <c r="K119">
        <f>IF(K28="","",K28/5)</f>
        <v/>
      </c>
      <c r="L119">
        <f>IF(L28="","",L28/5)</f>
        <v/>
      </c>
      <c r="M119">
        <f>IF(M28="","",M28/5)</f>
        <v/>
      </c>
      <c r="N119">
        <f>IF(N28="","",N28/5)</f>
        <v/>
      </c>
      <c r="O119">
        <f>IF(O28="","",O28/5)</f>
        <v/>
      </c>
      <c r="P119">
        <f>IF(P28="","",P28/5)</f>
        <v/>
      </c>
      <c r="Q119">
        <f>IF(Q28="","",Q28/5)</f>
        <v/>
      </c>
      <c r="R119">
        <f>IF(R28="","",R28/5)</f>
        <v/>
      </c>
      <c r="S119">
        <f>IF(S28="","",S28/5)</f>
        <v/>
      </c>
      <c r="T119">
        <f>IF(T28="","",T28/5)</f>
        <v/>
      </c>
      <c r="U119">
        <f>IF(U28="","",U28/5)</f>
        <v/>
      </c>
      <c r="V119">
        <f>IF(V28="","",V28/5)</f>
        <v/>
      </c>
      <c r="W119">
        <f>IF(W28="","",W28/5)</f>
        <v/>
      </c>
      <c r="X119">
        <f>IF(X28="","",X28/5)</f>
        <v/>
      </c>
      <c r="Y119">
        <f>IF(Y28="","",Y28/5)</f>
        <v/>
      </c>
      <c r="Z119">
        <f>IF(Z28="","",Z28/5)</f>
        <v/>
      </c>
      <c r="AA119">
        <f>IF(AA28="","",AA28/5)</f>
        <v/>
      </c>
      <c r="AB119">
        <f>IF(AB28="","",AB28/5)</f>
        <v/>
      </c>
      <c r="AC119">
        <f>IF(AC28="","",AC28/5)</f>
        <v/>
      </c>
      <c r="AD119">
        <f>IF(AD28="","",AD28/5)</f>
        <v/>
      </c>
      <c r="AE119">
        <f>IF(AE28="","",AE28/5)</f>
        <v/>
      </c>
      <c r="AF119">
        <f>IF(AF28="","",AF28/5)</f>
        <v/>
      </c>
      <c r="AG119">
        <f>IF(AG28="","",AG28/5)</f>
        <v/>
      </c>
      <c r="AH119">
        <f>IF(AH28="","",AH28/5)</f>
        <v/>
      </c>
      <c r="AI119">
        <f>IF(AI28="","",AI28/5)</f>
        <v/>
      </c>
      <c r="AJ119">
        <f>IF(AJ28="","",AJ28/5)</f>
        <v/>
      </c>
      <c r="AK119">
        <f>IF(AK28="","",AK28/5)</f>
        <v/>
      </c>
      <c r="AL119">
        <f>IF(AL28="","",AL28/5)</f>
        <v/>
      </c>
      <c r="AM119">
        <f>IF(AM28="","",AM28/5)</f>
        <v/>
      </c>
      <c r="AN119">
        <f>IF(AN28="","",AN28/5)</f>
        <v/>
      </c>
      <c r="AO119">
        <f>IF(AO28="","",AO28/5)</f>
        <v/>
      </c>
      <c r="AP119">
        <f>IF(AP28="","",AP28/5)</f>
        <v/>
      </c>
      <c r="AQ119">
        <f>IF(AQ28="","",AQ28/5)</f>
        <v/>
      </c>
      <c r="AR119">
        <f>IF(AR28="","",AR28/5)</f>
        <v/>
      </c>
      <c r="AS119">
        <f>IF(AS28="","",AS28/5)</f>
        <v/>
      </c>
      <c r="AT119">
        <f>IF(AT28="","",AT28/5)</f>
        <v/>
      </c>
      <c r="AU119">
        <f>IF(AU28="","",AU28/5)</f>
        <v/>
      </c>
      <c r="AV119">
        <f>IF(AV28="","",AV28/5)</f>
        <v/>
      </c>
      <c r="AW119">
        <f>IF(AW28="","",AW28/5)</f>
        <v/>
      </c>
      <c r="AX119">
        <f>IF(AX28="","",AX28/5)</f>
        <v/>
      </c>
      <c r="AY119">
        <f>IF(AY28="","",AY28/5)</f>
        <v/>
      </c>
      <c r="AZ119">
        <f>IF(AZ28="","",AZ28/5)</f>
        <v/>
      </c>
      <c r="BA119">
        <f>IF(BA28="","",BA28/5)</f>
        <v/>
      </c>
      <c r="BB119">
        <f>IF(BB28="","",BB28/5)</f>
        <v/>
      </c>
    </row>
    <row r="120">
      <c r="A120" s="16" t="inlineStr">
        <is>
          <t>Q19_4</t>
        </is>
      </c>
      <c r="B120" s="16" t="inlineStr">
        <is>
          <t>고충처리</t>
        </is>
      </c>
      <c r="C120" s="46">
        <f>가중치!$F$35</f>
        <v/>
      </c>
      <c r="E120">
        <f>IF(E29="","",E29/5)</f>
        <v/>
      </c>
      <c r="F120">
        <f>IF(F29="","",F29/5)</f>
        <v/>
      </c>
      <c r="G120">
        <f>IF(G29="","",G29/5)</f>
        <v/>
      </c>
      <c r="H120">
        <f>IF(H29="","",H29/5)</f>
        <v/>
      </c>
      <c r="I120">
        <f>IF(I29="","",I29/5)</f>
        <v/>
      </c>
      <c r="J120">
        <f>IF(J29="","",J29/5)</f>
        <v/>
      </c>
      <c r="K120">
        <f>IF(K29="","",K29/5)</f>
        <v/>
      </c>
      <c r="L120">
        <f>IF(L29="","",L29/5)</f>
        <v/>
      </c>
      <c r="M120">
        <f>IF(M29="","",M29/5)</f>
        <v/>
      </c>
      <c r="N120">
        <f>IF(N29="","",N29/5)</f>
        <v/>
      </c>
      <c r="O120">
        <f>IF(O29="","",O29/5)</f>
        <v/>
      </c>
      <c r="P120">
        <f>IF(P29="","",P29/5)</f>
        <v/>
      </c>
      <c r="Q120">
        <f>IF(Q29="","",Q29/5)</f>
        <v/>
      </c>
      <c r="R120">
        <f>IF(R29="","",R29/5)</f>
        <v/>
      </c>
      <c r="S120">
        <f>IF(S29="","",S29/5)</f>
        <v/>
      </c>
      <c r="T120">
        <f>IF(T29="","",T29/5)</f>
        <v/>
      </c>
      <c r="U120">
        <f>IF(U29="","",U29/5)</f>
        <v/>
      </c>
      <c r="V120">
        <f>IF(V29="","",V29/5)</f>
        <v/>
      </c>
      <c r="W120">
        <f>IF(W29="","",W29/5)</f>
        <v/>
      </c>
      <c r="X120">
        <f>IF(X29="","",X29/5)</f>
        <v/>
      </c>
      <c r="Y120">
        <f>IF(Y29="","",Y29/5)</f>
        <v/>
      </c>
      <c r="Z120">
        <f>IF(Z29="","",Z29/5)</f>
        <v/>
      </c>
      <c r="AA120">
        <f>IF(AA29="","",AA29/5)</f>
        <v/>
      </c>
      <c r="AB120">
        <f>IF(AB29="","",AB29/5)</f>
        <v/>
      </c>
      <c r="AC120">
        <f>IF(AC29="","",AC29/5)</f>
        <v/>
      </c>
      <c r="AD120">
        <f>IF(AD29="","",AD29/5)</f>
        <v/>
      </c>
      <c r="AE120">
        <f>IF(AE29="","",AE29/5)</f>
        <v/>
      </c>
      <c r="AF120">
        <f>IF(AF29="","",AF29/5)</f>
        <v/>
      </c>
      <c r="AG120">
        <f>IF(AG29="","",AG29/5)</f>
        <v/>
      </c>
      <c r="AH120">
        <f>IF(AH29="","",AH29/5)</f>
        <v/>
      </c>
      <c r="AI120">
        <f>IF(AI29="","",AI29/5)</f>
        <v/>
      </c>
      <c r="AJ120">
        <f>IF(AJ29="","",AJ29/5)</f>
        <v/>
      </c>
      <c r="AK120">
        <f>IF(AK29="","",AK29/5)</f>
        <v/>
      </c>
      <c r="AL120">
        <f>IF(AL29="","",AL29/5)</f>
        <v/>
      </c>
      <c r="AM120">
        <f>IF(AM29="","",AM29/5)</f>
        <v/>
      </c>
      <c r="AN120">
        <f>IF(AN29="","",AN29/5)</f>
        <v/>
      </c>
      <c r="AO120">
        <f>IF(AO29="","",AO29/5)</f>
        <v/>
      </c>
      <c r="AP120">
        <f>IF(AP29="","",AP29/5)</f>
        <v/>
      </c>
      <c r="AQ120">
        <f>IF(AQ29="","",AQ29/5)</f>
        <v/>
      </c>
      <c r="AR120">
        <f>IF(AR29="","",AR29/5)</f>
        <v/>
      </c>
      <c r="AS120">
        <f>IF(AS29="","",AS29/5)</f>
        <v/>
      </c>
      <c r="AT120">
        <f>IF(AT29="","",AT29/5)</f>
        <v/>
      </c>
      <c r="AU120">
        <f>IF(AU29="","",AU29/5)</f>
        <v/>
      </c>
      <c r="AV120">
        <f>IF(AV29="","",AV29/5)</f>
        <v/>
      </c>
      <c r="AW120">
        <f>IF(AW29="","",AW29/5)</f>
        <v/>
      </c>
      <c r="AX120">
        <f>IF(AX29="","",AX29/5)</f>
        <v/>
      </c>
      <c r="AY120">
        <f>IF(AY29="","",AY29/5)</f>
        <v/>
      </c>
      <c r="AZ120">
        <f>IF(AZ29="","",AZ29/5)</f>
        <v/>
      </c>
      <c r="BA120">
        <f>IF(BA29="","",BA29/5)</f>
        <v/>
      </c>
      <c r="BB120">
        <f>IF(BB29="","",BB29/5)</f>
        <v/>
      </c>
    </row>
    <row r="121">
      <c r="A121" s="16" t="inlineStr">
        <is>
          <t>Q23_1</t>
        </is>
      </c>
      <c r="B121" s="16" t="inlineStr">
        <is>
          <t>노사협의회 활용성</t>
        </is>
      </c>
      <c r="C121" s="46">
        <f>가중치!$F$36</f>
        <v/>
      </c>
      <c r="E121">
        <f>IF(E40="","",E40/5)</f>
        <v/>
      </c>
      <c r="F121">
        <f>IF(F40="","",F40/5)</f>
        <v/>
      </c>
      <c r="G121">
        <f>IF(G40="","",G40/5)</f>
        <v/>
      </c>
      <c r="H121">
        <f>IF(H40="","",H40/5)</f>
        <v/>
      </c>
      <c r="I121">
        <f>IF(I40="","",I40/5)</f>
        <v/>
      </c>
      <c r="J121">
        <f>IF(J40="","",J40/5)</f>
        <v/>
      </c>
      <c r="K121">
        <f>IF(K40="","",K40/5)</f>
        <v/>
      </c>
      <c r="L121">
        <f>IF(L40="","",L40/5)</f>
        <v/>
      </c>
      <c r="M121">
        <f>IF(M40="","",M40/5)</f>
        <v/>
      </c>
      <c r="N121">
        <f>IF(N40="","",N40/5)</f>
        <v/>
      </c>
      <c r="O121">
        <f>IF(O40="","",O40/5)</f>
        <v/>
      </c>
      <c r="P121">
        <f>IF(P40="","",P40/5)</f>
        <v/>
      </c>
      <c r="Q121">
        <f>IF(Q40="","",Q40/5)</f>
        <v/>
      </c>
      <c r="R121">
        <f>IF(R40="","",R40/5)</f>
        <v/>
      </c>
      <c r="S121">
        <f>IF(S40="","",S40/5)</f>
        <v/>
      </c>
      <c r="T121">
        <f>IF(T40="","",T40/5)</f>
        <v/>
      </c>
      <c r="U121">
        <f>IF(U40="","",U40/5)</f>
        <v/>
      </c>
      <c r="V121">
        <f>IF(V40="","",V40/5)</f>
        <v/>
      </c>
      <c r="W121">
        <f>IF(W40="","",W40/5)</f>
        <v/>
      </c>
      <c r="X121">
        <f>IF(X40="","",X40/5)</f>
        <v/>
      </c>
      <c r="Y121">
        <f>IF(Y40="","",Y40/5)</f>
        <v/>
      </c>
      <c r="Z121">
        <f>IF(Z40="","",Z40/5)</f>
        <v/>
      </c>
      <c r="AA121">
        <f>IF(AA40="","",AA40/5)</f>
        <v/>
      </c>
      <c r="AB121">
        <f>IF(AB40="","",AB40/5)</f>
        <v/>
      </c>
      <c r="AC121">
        <f>IF(AC40="","",AC40/5)</f>
        <v/>
      </c>
      <c r="AD121">
        <f>IF(AD40="","",AD40/5)</f>
        <v/>
      </c>
      <c r="AE121">
        <f>IF(AE40="","",AE40/5)</f>
        <v/>
      </c>
      <c r="AF121">
        <f>IF(AF40="","",AF40/5)</f>
        <v/>
      </c>
      <c r="AG121">
        <f>IF(AG40="","",AG40/5)</f>
        <v/>
      </c>
      <c r="AH121">
        <f>IF(AH40="","",AH40/5)</f>
        <v/>
      </c>
      <c r="AI121">
        <f>IF(AI40="","",AI40/5)</f>
        <v/>
      </c>
      <c r="AJ121">
        <f>IF(AJ40="","",AJ40/5)</f>
        <v/>
      </c>
      <c r="AK121">
        <f>IF(AK40="","",AK40/5)</f>
        <v/>
      </c>
      <c r="AL121">
        <f>IF(AL40="","",AL40/5)</f>
        <v/>
      </c>
      <c r="AM121">
        <f>IF(AM40="","",AM40/5)</f>
        <v/>
      </c>
      <c r="AN121">
        <f>IF(AN40="","",AN40/5)</f>
        <v/>
      </c>
      <c r="AO121">
        <f>IF(AO40="","",AO40/5)</f>
        <v/>
      </c>
      <c r="AP121">
        <f>IF(AP40="","",AP40/5)</f>
        <v/>
      </c>
      <c r="AQ121">
        <f>IF(AQ40="","",AQ40/5)</f>
        <v/>
      </c>
      <c r="AR121">
        <f>IF(AR40="","",AR40/5)</f>
        <v/>
      </c>
      <c r="AS121">
        <f>IF(AS40="","",AS40/5)</f>
        <v/>
      </c>
      <c r="AT121">
        <f>IF(AT40="","",AT40/5)</f>
        <v/>
      </c>
      <c r="AU121">
        <f>IF(AU40="","",AU40/5)</f>
        <v/>
      </c>
      <c r="AV121">
        <f>IF(AV40="","",AV40/5)</f>
        <v/>
      </c>
      <c r="AW121">
        <f>IF(AW40="","",AW40/5)</f>
        <v/>
      </c>
      <c r="AX121">
        <f>IF(AX40="","",AX40/5)</f>
        <v/>
      </c>
      <c r="AY121">
        <f>IF(AY40="","",AY40/5)</f>
        <v/>
      </c>
      <c r="AZ121">
        <f>IF(AZ40="","",AZ40/5)</f>
        <v/>
      </c>
      <c r="BA121">
        <f>IF(BA40="","",BA40/5)</f>
        <v/>
      </c>
      <c r="BB121">
        <f>IF(BB40="","",BB40/5)</f>
        <v/>
      </c>
    </row>
    <row r="122">
      <c r="A122" s="16" t="inlineStr">
        <is>
          <t>Q23_2</t>
        </is>
      </c>
      <c r="B122" s="16" t="inlineStr">
        <is>
          <t>노사협의회 활용성</t>
        </is>
      </c>
      <c r="C122" s="46">
        <f>가중치!$F$37</f>
        <v/>
      </c>
      <c r="E122">
        <f>IF(E41="","",E41/5)</f>
        <v/>
      </c>
      <c r="F122">
        <f>IF(F41="","",F41/5)</f>
        <v/>
      </c>
      <c r="G122">
        <f>IF(G41="","",G41/5)</f>
        <v/>
      </c>
      <c r="H122">
        <f>IF(H41="","",H41/5)</f>
        <v/>
      </c>
      <c r="I122">
        <f>IF(I41="","",I41/5)</f>
        <v/>
      </c>
      <c r="J122">
        <f>IF(J41="","",J41/5)</f>
        <v/>
      </c>
      <c r="K122">
        <f>IF(K41="","",K41/5)</f>
        <v/>
      </c>
      <c r="L122">
        <f>IF(L41="","",L41/5)</f>
        <v/>
      </c>
      <c r="M122">
        <f>IF(M41="","",M41/5)</f>
        <v/>
      </c>
      <c r="N122">
        <f>IF(N41="","",N41/5)</f>
        <v/>
      </c>
      <c r="O122">
        <f>IF(O41="","",O41/5)</f>
        <v/>
      </c>
      <c r="P122">
        <f>IF(P41="","",P41/5)</f>
        <v/>
      </c>
      <c r="Q122">
        <f>IF(Q41="","",Q41/5)</f>
        <v/>
      </c>
      <c r="R122">
        <f>IF(R41="","",R41/5)</f>
        <v/>
      </c>
      <c r="S122">
        <f>IF(S41="","",S41/5)</f>
        <v/>
      </c>
      <c r="T122">
        <f>IF(T41="","",T41/5)</f>
        <v/>
      </c>
      <c r="U122">
        <f>IF(U41="","",U41/5)</f>
        <v/>
      </c>
      <c r="V122">
        <f>IF(V41="","",V41/5)</f>
        <v/>
      </c>
      <c r="W122">
        <f>IF(W41="","",W41/5)</f>
        <v/>
      </c>
      <c r="X122">
        <f>IF(X41="","",X41/5)</f>
        <v/>
      </c>
      <c r="Y122">
        <f>IF(Y41="","",Y41/5)</f>
        <v/>
      </c>
      <c r="Z122">
        <f>IF(Z41="","",Z41/5)</f>
        <v/>
      </c>
      <c r="AA122">
        <f>IF(AA41="","",AA41/5)</f>
        <v/>
      </c>
      <c r="AB122">
        <f>IF(AB41="","",AB41/5)</f>
        <v/>
      </c>
      <c r="AC122">
        <f>IF(AC41="","",AC41/5)</f>
        <v/>
      </c>
      <c r="AD122">
        <f>IF(AD41="","",AD41/5)</f>
        <v/>
      </c>
      <c r="AE122">
        <f>IF(AE41="","",AE41/5)</f>
        <v/>
      </c>
      <c r="AF122">
        <f>IF(AF41="","",AF41/5)</f>
        <v/>
      </c>
      <c r="AG122">
        <f>IF(AG41="","",AG41/5)</f>
        <v/>
      </c>
      <c r="AH122">
        <f>IF(AH41="","",AH41/5)</f>
        <v/>
      </c>
      <c r="AI122">
        <f>IF(AI41="","",AI41/5)</f>
        <v/>
      </c>
      <c r="AJ122">
        <f>IF(AJ41="","",AJ41/5)</f>
        <v/>
      </c>
      <c r="AK122">
        <f>IF(AK41="","",AK41/5)</f>
        <v/>
      </c>
      <c r="AL122">
        <f>IF(AL41="","",AL41/5)</f>
        <v/>
      </c>
      <c r="AM122">
        <f>IF(AM41="","",AM41/5)</f>
        <v/>
      </c>
      <c r="AN122">
        <f>IF(AN41="","",AN41/5)</f>
        <v/>
      </c>
      <c r="AO122">
        <f>IF(AO41="","",AO41/5)</f>
        <v/>
      </c>
      <c r="AP122">
        <f>IF(AP41="","",AP41/5)</f>
        <v/>
      </c>
      <c r="AQ122">
        <f>IF(AQ41="","",AQ41/5)</f>
        <v/>
      </c>
      <c r="AR122">
        <f>IF(AR41="","",AR41/5)</f>
        <v/>
      </c>
      <c r="AS122">
        <f>IF(AS41="","",AS41/5)</f>
        <v/>
      </c>
      <c r="AT122">
        <f>IF(AT41="","",AT41/5)</f>
        <v/>
      </c>
      <c r="AU122">
        <f>IF(AU41="","",AU41/5)</f>
        <v/>
      </c>
      <c r="AV122">
        <f>IF(AV41="","",AV41/5)</f>
        <v/>
      </c>
      <c r="AW122">
        <f>IF(AW41="","",AW41/5)</f>
        <v/>
      </c>
      <c r="AX122">
        <f>IF(AX41="","",AX41/5)</f>
        <v/>
      </c>
      <c r="AY122">
        <f>IF(AY41="","",AY41/5)</f>
        <v/>
      </c>
      <c r="AZ122">
        <f>IF(AZ41="","",AZ41/5)</f>
        <v/>
      </c>
      <c r="BA122">
        <f>IF(BA41="","",BA41/5)</f>
        <v/>
      </c>
      <c r="BB122">
        <f>IF(BB41="","",BB41/5)</f>
        <v/>
      </c>
    </row>
    <row r="123">
      <c r="A123" s="16" t="inlineStr">
        <is>
          <t>Q23_3</t>
        </is>
      </c>
      <c r="B123" s="16" t="inlineStr">
        <is>
          <t>노사협의회 활용성</t>
        </is>
      </c>
      <c r="C123" s="46">
        <f>가중치!$F$38</f>
        <v/>
      </c>
      <c r="E123">
        <f>IF(E42="","",E42/5)</f>
        <v/>
      </c>
      <c r="F123">
        <f>IF(F42="","",F42/5)</f>
        <v/>
      </c>
      <c r="G123">
        <f>IF(G42="","",G42/5)</f>
        <v/>
      </c>
      <c r="H123">
        <f>IF(H42="","",H42/5)</f>
        <v/>
      </c>
      <c r="I123">
        <f>IF(I42="","",I42/5)</f>
        <v/>
      </c>
      <c r="J123">
        <f>IF(J42="","",J42/5)</f>
        <v/>
      </c>
      <c r="K123">
        <f>IF(K42="","",K42/5)</f>
        <v/>
      </c>
      <c r="L123">
        <f>IF(L42="","",L42/5)</f>
        <v/>
      </c>
      <c r="M123">
        <f>IF(M42="","",M42/5)</f>
        <v/>
      </c>
      <c r="N123">
        <f>IF(N42="","",N42/5)</f>
        <v/>
      </c>
      <c r="O123">
        <f>IF(O42="","",O42/5)</f>
        <v/>
      </c>
      <c r="P123">
        <f>IF(P42="","",P42/5)</f>
        <v/>
      </c>
      <c r="Q123">
        <f>IF(Q42="","",Q42/5)</f>
        <v/>
      </c>
      <c r="R123">
        <f>IF(R42="","",R42/5)</f>
        <v/>
      </c>
      <c r="S123">
        <f>IF(S42="","",S42/5)</f>
        <v/>
      </c>
      <c r="T123">
        <f>IF(T42="","",T42/5)</f>
        <v/>
      </c>
      <c r="U123">
        <f>IF(U42="","",U42/5)</f>
        <v/>
      </c>
      <c r="V123">
        <f>IF(V42="","",V42/5)</f>
        <v/>
      </c>
      <c r="W123">
        <f>IF(W42="","",W42/5)</f>
        <v/>
      </c>
      <c r="X123">
        <f>IF(X42="","",X42/5)</f>
        <v/>
      </c>
      <c r="Y123">
        <f>IF(Y42="","",Y42/5)</f>
        <v/>
      </c>
      <c r="Z123">
        <f>IF(Z42="","",Z42/5)</f>
        <v/>
      </c>
      <c r="AA123">
        <f>IF(AA42="","",AA42/5)</f>
        <v/>
      </c>
      <c r="AB123">
        <f>IF(AB42="","",AB42/5)</f>
        <v/>
      </c>
      <c r="AC123">
        <f>IF(AC42="","",AC42/5)</f>
        <v/>
      </c>
      <c r="AD123">
        <f>IF(AD42="","",AD42/5)</f>
        <v/>
      </c>
      <c r="AE123">
        <f>IF(AE42="","",AE42/5)</f>
        <v/>
      </c>
      <c r="AF123">
        <f>IF(AF42="","",AF42/5)</f>
        <v/>
      </c>
      <c r="AG123">
        <f>IF(AG42="","",AG42/5)</f>
        <v/>
      </c>
      <c r="AH123">
        <f>IF(AH42="","",AH42/5)</f>
        <v/>
      </c>
      <c r="AI123">
        <f>IF(AI42="","",AI42/5)</f>
        <v/>
      </c>
      <c r="AJ123">
        <f>IF(AJ42="","",AJ42/5)</f>
        <v/>
      </c>
      <c r="AK123">
        <f>IF(AK42="","",AK42/5)</f>
        <v/>
      </c>
      <c r="AL123">
        <f>IF(AL42="","",AL42/5)</f>
        <v/>
      </c>
      <c r="AM123">
        <f>IF(AM42="","",AM42/5)</f>
        <v/>
      </c>
      <c r="AN123">
        <f>IF(AN42="","",AN42/5)</f>
        <v/>
      </c>
      <c r="AO123">
        <f>IF(AO42="","",AO42/5)</f>
        <v/>
      </c>
      <c r="AP123">
        <f>IF(AP42="","",AP42/5)</f>
        <v/>
      </c>
      <c r="AQ123">
        <f>IF(AQ42="","",AQ42/5)</f>
        <v/>
      </c>
      <c r="AR123">
        <f>IF(AR42="","",AR42/5)</f>
        <v/>
      </c>
      <c r="AS123">
        <f>IF(AS42="","",AS42/5)</f>
        <v/>
      </c>
      <c r="AT123">
        <f>IF(AT42="","",AT42/5)</f>
        <v/>
      </c>
      <c r="AU123">
        <f>IF(AU42="","",AU42/5)</f>
        <v/>
      </c>
      <c r="AV123">
        <f>IF(AV42="","",AV42/5)</f>
        <v/>
      </c>
      <c r="AW123">
        <f>IF(AW42="","",AW42/5)</f>
        <v/>
      </c>
      <c r="AX123">
        <f>IF(AX42="","",AX42/5)</f>
        <v/>
      </c>
      <c r="AY123">
        <f>IF(AY42="","",AY42/5)</f>
        <v/>
      </c>
      <c r="AZ123">
        <f>IF(AZ42="","",AZ42/5)</f>
        <v/>
      </c>
      <c r="BA123">
        <f>IF(BA42="","",BA42/5)</f>
        <v/>
      </c>
      <c r="BB123">
        <f>IF(BB42="","",BB42/5)</f>
        <v/>
      </c>
    </row>
    <row r="124">
      <c r="A124" s="16" t="inlineStr">
        <is>
          <t>Q23_4</t>
        </is>
      </c>
      <c r="B124" s="16" t="inlineStr">
        <is>
          <t>노사협의회 활용성</t>
        </is>
      </c>
      <c r="C124" s="46">
        <f>가중치!$F$39</f>
        <v/>
      </c>
      <c r="E124">
        <f>IF(E43="","",E43/5)</f>
        <v/>
      </c>
      <c r="F124">
        <f>IF(F43="","",F43/5)</f>
        <v/>
      </c>
      <c r="G124">
        <f>IF(G43="","",G43/5)</f>
        <v/>
      </c>
      <c r="H124">
        <f>IF(H43="","",H43/5)</f>
        <v/>
      </c>
      <c r="I124">
        <f>IF(I43="","",I43/5)</f>
        <v/>
      </c>
      <c r="J124">
        <f>IF(J43="","",J43/5)</f>
        <v/>
      </c>
      <c r="K124">
        <f>IF(K43="","",K43/5)</f>
        <v/>
      </c>
      <c r="L124">
        <f>IF(L43="","",L43/5)</f>
        <v/>
      </c>
      <c r="M124">
        <f>IF(M43="","",M43/5)</f>
        <v/>
      </c>
      <c r="N124">
        <f>IF(N43="","",N43/5)</f>
        <v/>
      </c>
      <c r="O124">
        <f>IF(O43="","",O43/5)</f>
        <v/>
      </c>
      <c r="P124">
        <f>IF(P43="","",P43/5)</f>
        <v/>
      </c>
      <c r="Q124">
        <f>IF(Q43="","",Q43/5)</f>
        <v/>
      </c>
      <c r="R124">
        <f>IF(R43="","",R43/5)</f>
        <v/>
      </c>
      <c r="S124">
        <f>IF(S43="","",S43/5)</f>
        <v/>
      </c>
      <c r="T124">
        <f>IF(T43="","",T43/5)</f>
        <v/>
      </c>
      <c r="U124">
        <f>IF(U43="","",U43/5)</f>
        <v/>
      </c>
      <c r="V124">
        <f>IF(V43="","",V43/5)</f>
        <v/>
      </c>
      <c r="W124">
        <f>IF(W43="","",W43/5)</f>
        <v/>
      </c>
      <c r="X124">
        <f>IF(X43="","",X43/5)</f>
        <v/>
      </c>
      <c r="Y124">
        <f>IF(Y43="","",Y43/5)</f>
        <v/>
      </c>
      <c r="Z124">
        <f>IF(Z43="","",Z43/5)</f>
        <v/>
      </c>
      <c r="AA124">
        <f>IF(AA43="","",AA43/5)</f>
        <v/>
      </c>
      <c r="AB124">
        <f>IF(AB43="","",AB43/5)</f>
        <v/>
      </c>
      <c r="AC124">
        <f>IF(AC43="","",AC43/5)</f>
        <v/>
      </c>
      <c r="AD124">
        <f>IF(AD43="","",AD43/5)</f>
        <v/>
      </c>
      <c r="AE124">
        <f>IF(AE43="","",AE43/5)</f>
        <v/>
      </c>
      <c r="AF124">
        <f>IF(AF43="","",AF43/5)</f>
        <v/>
      </c>
      <c r="AG124">
        <f>IF(AG43="","",AG43/5)</f>
        <v/>
      </c>
      <c r="AH124">
        <f>IF(AH43="","",AH43/5)</f>
        <v/>
      </c>
      <c r="AI124">
        <f>IF(AI43="","",AI43/5)</f>
        <v/>
      </c>
      <c r="AJ124">
        <f>IF(AJ43="","",AJ43/5)</f>
        <v/>
      </c>
      <c r="AK124">
        <f>IF(AK43="","",AK43/5)</f>
        <v/>
      </c>
      <c r="AL124">
        <f>IF(AL43="","",AL43/5)</f>
        <v/>
      </c>
      <c r="AM124">
        <f>IF(AM43="","",AM43/5)</f>
        <v/>
      </c>
      <c r="AN124">
        <f>IF(AN43="","",AN43/5)</f>
        <v/>
      </c>
      <c r="AO124">
        <f>IF(AO43="","",AO43/5)</f>
        <v/>
      </c>
      <c r="AP124">
        <f>IF(AP43="","",AP43/5)</f>
        <v/>
      </c>
      <c r="AQ124">
        <f>IF(AQ43="","",AQ43/5)</f>
        <v/>
      </c>
      <c r="AR124">
        <f>IF(AR43="","",AR43/5)</f>
        <v/>
      </c>
      <c r="AS124">
        <f>IF(AS43="","",AS43/5)</f>
        <v/>
      </c>
      <c r="AT124">
        <f>IF(AT43="","",AT43/5)</f>
        <v/>
      </c>
      <c r="AU124">
        <f>IF(AU43="","",AU43/5)</f>
        <v/>
      </c>
      <c r="AV124">
        <f>IF(AV43="","",AV43/5)</f>
        <v/>
      </c>
      <c r="AW124">
        <f>IF(AW43="","",AW43/5)</f>
        <v/>
      </c>
      <c r="AX124">
        <f>IF(AX43="","",AX43/5)</f>
        <v/>
      </c>
      <c r="AY124">
        <f>IF(AY43="","",AY43/5)</f>
        <v/>
      </c>
      <c r="AZ124">
        <f>IF(AZ43="","",AZ43/5)</f>
        <v/>
      </c>
      <c r="BA124">
        <f>IF(BA43="","",BA43/5)</f>
        <v/>
      </c>
      <c r="BB124">
        <f>IF(BB43="","",BB43/5)</f>
        <v/>
      </c>
    </row>
    <row r="125">
      <c r="A125" s="16" t="inlineStr">
        <is>
          <t>Q23_5</t>
        </is>
      </c>
      <c r="B125" s="16" t="inlineStr">
        <is>
          <t>노사협의회 활용성</t>
        </is>
      </c>
      <c r="C125" s="46">
        <f>가중치!$F$40</f>
        <v/>
      </c>
      <c r="E125">
        <f>IF(E44="","",E44/5)</f>
        <v/>
      </c>
      <c r="F125">
        <f>IF(F44="","",F44/5)</f>
        <v/>
      </c>
      <c r="G125">
        <f>IF(G44="","",G44/5)</f>
        <v/>
      </c>
      <c r="H125">
        <f>IF(H44="","",H44/5)</f>
        <v/>
      </c>
      <c r="I125">
        <f>IF(I44="","",I44/5)</f>
        <v/>
      </c>
      <c r="J125">
        <f>IF(J44="","",J44/5)</f>
        <v/>
      </c>
      <c r="K125">
        <f>IF(K44="","",K44/5)</f>
        <v/>
      </c>
      <c r="L125">
        <f>IF(L44="","",L44/5)</f>
        <v/>
      </c>
      <c r="M125">
        <f>IF(M44="","",M44/5)</f>
        <v/>
      </c>
      <c r="N125">
        <f>IF(N44="","",N44/5)</f>
        <v/>
      </c>
      <c r="O125">
        <f>IF(O44="","",O44/5)</f>
        <v/>
      </c>
      <c r="P125">
        <f>IF(P44="","",P44/5)</f>
        <v/>
      </c>
      <c r="Q125">
        <f>IF(Q44="","",Q44/5)</f>
        <v/>
      </c>
      <c r="R125">
        <f>IF(R44="","",R44/5)</f>
        <v/>
      </c>
      <c r="S125">
        <f>IF(S44="","",S44/5)</f>
        <v/>
      </c>
      <c r="T125">
        <f>IF(T44="","",T44/5)</f>
        <v/>
      </c>
      <c r="U125">
        <f>IF(U44="","",U44/5)</f>
        <v/>
      </c>
      <c r="V125">
        <f>IF(V44="","",V44/5)</f>
        <v/>
      </c>
      <c r="W125">
        <f>IF(W44="","",W44/5)</f>
        <v/>
      </c>
      <c r="X125">
        <f>IF(X44="","",X44/5)</f>
        <v/>
      </c>
      <c r="Y125">
        <f>IF(Y44="","",Y44/5)</f>
        <v/>
      </c>
      <c r="Z125">
        <f>IF(Z44="","",Z44/5)</f>
        <v/>
      </c>
      <c r="AA125">
        <f>IF(AA44="","",AA44/5)</f>
        <v/>
      </c>
      <c r="AB125">
        <f>IF(AB44="","",AB44/5)</f>
        <v/>
      </c>
      <c r="AC125">
        <f>IF(AC44="","",AC44/5)</f>
        <v/>
      </c>
      <c r="AD125">
        <f>IF(AD44="","",AD44/5)</f>
        <v/>
      </c>
      <c r="AE125">
        <f>IF(AE44="","",AE44/5)</f>
        <v/>
      </c>
      <c r="AF125">
        <f>IF(AF44="","",AF44/5)</f>
        <v/>
      </c>
      <c r="AG125">
        <f>IF(AG44="","",AG44/5)</f>
        <v/>
      </c>
      <c r="AH125">
        <f>IF(AH44="","",AH44/5)</f>
        <v/>
      </c>
      <c r="AI125">
        <f>IF(AI44="","",AI44/5)</f>
        <v/>
      </c>
      <c r="AJ125">
        <f>IF(AJ44="","",AJ44/5)</f>
        <v/>
      </c>
      <c r="AK125">
        <f>IF(AK44="","",AK44/5)</f>
        <v/>
      </c>
      <c r="AL125">
        <f>IF(AL44="","",AL44/5)</f>
        <v/>
      </c>
      <c r="AM125">
        <f>IF(AM44="","",AM44/5)</f>
        <v/>
      </c>
      <c r="AN125">
        <f>IF(AN44="","",AN44/5)</f>
        <v/>
      </c>
      <c r="AO125">
        <f>IF(AO44="","",AO44/5)</f>
        <v/>
      </c>
      <c r="AP125">
        <f>IF(AP44="","",AP44/5)</f>
        <v/>
      </c>
      <c r="AQ125">
        <f>IF(AQ44="","",AQ44/5)</f>
        <v/>
      </c>
      <c r="AR125">
        <f>IF(AR44="","",AR44/5)</f>
        <v/>
      </c>
      <c r="AS125">
        <f>IF(AS44="","",AS44/5)</f>
        <v/>
      </c>
      <c r="AT125">
        <f>IF(AT44="","",AT44/5)</f>
        <v/>
      </c>
      <c r="AU125">
        <f>IF(AU44="","",AU44/5)</f>
        <v/>
      </c>
      <c r="AV125">
        <f>IF(AV44="","",AV44/5)</f>
        <v/>
      </c>
      <c r="AW125">
        <f>IF(AW44="","",AW44/5)</f>
        <v/>
      </c>
      <c r="AX125">
        <f>IF(AX44="","",AX44/5)</f>
        <v/>
      </c>
      <c r="AY125">
        <f>IF(AY44="","",AY44/5)</f>
        <v/>
      </c>
      <c r="AZ125">
        <f>IF(AZ44="","",AZ44/5)</f>
        <v/>
      </c>
      <c r="BA125">
        <f>IF(BA44="","",BA44/5)</f>
        <v/>
      </c>
      <c r="BB125">
        <f>IF(BB44="","",BB44/5)</f>
        <v/>
      </c>
    </row>
    <row r="127">
      <c r="A127" s="42" t="inlineStr">
        <is>
          <t>④ 파트 점수 — 2025식</t>
        </is>
      </c>
    </row>
    <row r="128">
      <c r="A128" s="16" t="inlineStr">
        <is>
          <t>P1</t>
        </is>
      </c>
      <c r="B128" s="16" t="inlineStr">
        <is>
          <t>노사관계 전반 인식</t>
        </is>
      </c>
      <c r="C128" s="41">
        <f>SUM($C$52:$C$55)</f>
        <v/>
      </c>
      <c r="E128">
        <f>IF(E$5&lt;&gt;1,"",IF(SUMPRODUCT($C$52:$C$55,--(E52:E55&lt;&gt;""))=0,"",SUMPRODUCT($C$52:$C$55,E52:E55)/SUMPRODUCT($C$52:$C$55,--(E52:E55&lt;&gt;""))*$C128))</f>
        <v/>
      </c>
      <c r="F128">
        <f>IF(F$5&lt;&gt;1,"",IF(SUMPRODUCT($C$52:$C$55,--(F52:F55&lt;&gt;""))=0,"",SUMPRODUCT($C$52:$C$55,F52:F55)/SUMPRODUCT($C$52:$C$55,--(F52:F55&lt;&gt;""))*$C128))</f>
        <v/>
      </c>
      <c r="G128">
        <f>IF(G$5&lt;&gt;1,"",IF(SUMPRODUCT($C$52:$C$55,--(G52:G55&lt;&gt;""))=0,"",SUMPRODUCT($C$52:$C$55,G52:G55)/SUMPRODUCT($C$52:$C$55,--(G52:G55&lt;&gt;""))*$C128))</f>
        <v/>
      </c>
      <c r="H128">
        <f>IF(H$5&lt;&gt;1,"",IF(SUMPRODUCT($C$52:$C$55,--(H52:H55&lt;&gt;""))=0,"",SUMPRODUCT($C$52:$C$55,H52:H55)/SUMPRODUCT($C$52:$C$55,--(H52:H55&lt;&gt;""))*$C128))</f>
        <v/>
      </c>
      <c r="I128">
        <f>IF(I$5&lt;&gt;1,"",IF(SUMPRODUCT($C$52:$C$55,--(I52:I55&lt;&gt;""))=0,"",SUMPRODUCT($C$52:$C$55,I52:I55)/SUMPRODUCT($C$52:$C$55,--(I52:I55&lt;&gt;""))*$C128))</f>
        <v/>
      </c>
      <c r="J128">
        <f>IF(J$5&lt;&gt;1,"",IF(SUMPRODUCT($C$52:$C$55,--(J52:J55&lt;&gt;""))=0,"",SUMPRODUCT($C$52:$C$55,J52:J55)/SUMPRODUCT($C$52:$C$55,--(J52:J55&lt;&gt;""))*$C128))</f>
        <v/>
      </c>
      <c r="K128">
        <f>IF(K$5&lt;&gt;1,"",IF(SUMPRODUCT($C$52:$C$55,--(K52:K55&lt;&gt;""))=0,"",SUMPRODUCT($C$52:$C$55,K52:K55)/SUMPRODUCT($C$52:$C$55,--(K52:K55&lt;&gt;""))*$C128))</f>
        <v/>
      </c>
      <c r="L128">
        <f>IF(L$5&lt;&gt;1,"",IF(SUMPRODUCT($C$52:$C$55,--(L52:L55&lt;&gt;""))=0,"",SUMPRODUCT($C$52:$C$55,L52:L55)/SUMPRODUCT($C$52:$C$55,--(L52:L55&lt;&gt;""))*$C128))</f>
        <v/>
      </c>
      <c r="M128">
        <f>IF(M$5&lt;&gt;1,"",IF(SUMPRODUCT($C$52:$C$55,--(M52:M55&lt;&gt;""))=0,"",SUMPRODUCT($C$52:$C$55,M52:M55)/SUMPRODUCT($C$52:$C$55,--(M52:M55&lt;&gt;""))*$C128))</f>
        <v/>
      </c>
      <c r="N128">
        <f>IF(N$5&lt;&gt;1,"",IF(SUMPRODUCT($C$52:$C$55,--(N52:N55&lt;&gt;""))=0,"",SUMPRODUCT($C$52:$C$55,N52:N55)/SUMPRODUCT($C$52:$C$55,--(N52:N55&lt;&gt;""))*$C128))</f>
        <v/>
      </c>
      <c r="O128">
        <f>IF(O$5&lt;&gt;1,"",IF(SUMPRODUCT($C$52:$C$55,--(O52:O55&lt;&gt;""))=0,"",SUMPRODUCT($C$52:$C$55,O52:O55)/SUMPRODUCT($C$52:$C$55,--(O52:O55&lt;&gt;""))*$C128))</f>
        <v/>
      </c>
      <c r="P128">
        <f>IF(P$5&lt;&gt;1,"",IF(SUMPRODUCT($C$52:$C$55,--(P52:P55&lt;&gt;""))=0,"",SUMPRODUCT($C$52:$C$55,P52:P55)/SUMPRODUCT($C$52:$C$55,--(P52:P55&lt;&gt;""))*$C128))</f>
        <v/>
      </c>
      <c r="Q128">
        <f>IF(Q$5&lt;&gt;1,"",IF(SUMPRODUCT($C$52:$C$55,--(Q52:Q55&lt;&gt;""))=0,"",SUMPRODUCT($C$52:$C$55,Q52:Q55)/SUMPRODUCT($C$52:$C$55,--(Q52:Q55&lt;&gt;""))*$C128))</f>
        <v/>
      </c>
      <c r="R128">
        <f>IF(R$5&lt;&gt;1,"",IF(SUMPRODUCT($C$52:$C$55,--(R52:R55&lt;&gt;""))=0,"",SUMPRODUCT($C$52:$C$55,R52:R55)/SUMPRODUCT($C$52:$C$55,--(R52:R55&lt;&gt;""))*$C128))</f>
        <v/>
      </c>
      <c r="S128">
        <f>IF(S$5&lt;&gt;1,"",IF(SUMPRODUCT($C$52:$C$55,--(S52:S55&lt;&gt;""))=0,"",SUMPRODUCT($C$52:$C$55,S52:S55)/SUMPRODUCT($C$52:$C$55,--(S52:S55&lt;&gt;""))*$C128))</f>
        <v/>
      </c>
      <c r="T128">
        <f>IF(T$5&lt;&gt;1,"",IF(SUMPRODUCT($C$52:$C$55,--(T52:T55&lt;&gt;""))=0,"",SUMPRODUCT($C$52:$C$55,T52:T55)/SUMPRODUCT($C$52:$C$55,--(T52:T55&lt;&gt;""))*$C128))</f>
        <v/>
      </c>
      <c r="U128">
        <f>IF(U$5&lt;&gt;1,"",IF(SUMPRODUCT($C$52:$C$55,--(U52:U55&lt;&gt;""))=0,"",SUMPRODUCT($C$52:$C$55,U52:U55)/SUMPRODUCT($C$52:$C$55,--(U52:U55&lt;&gt;""))*$C128))</f>
        <v/>
      </c>
      <c r="V128">
        <f>IF(V$5&lt;&gt;1,"",IF(SUMPRODUCT($C$52:$C$55,--(V52:V55&lt;&gt;""))=0,"",SUMPRODUCT($C$52:$C$55,V52:V55)/SUMPRODUCT($C$52:$C$55,--(V52:V55&lt;&gt;""))*$C128))</f>
        <v/>
      </c>
      <c r="W128">
        <f>IF(W$5&lt;&gt;1,"",IF(SUMPRODUCT($C$52:$C$55,--(W52:W55&lt;&gt;""))=0,"",SUMPRODUCT($C$52:$C$55,W52:W55)/SUMPRODUCT($C$52:$C$55,--(W52:W55&lt;&gt;""))*$C128))</f>
        <v/>
      </c>
      <c r="X128">
        <f>IF(X$5&lt;&gt;1,"",IF(SUMPRODUCT($C$52:$C$55,--(X52:X55&lt;&gt;""))=0,"",SUMPRODUCT($C$52:$C$55,X52:X55)/SUMPRODUCT($C$52:$C$55,--(X52:X55&lt;&gt;""))*$C128))</f>
        <v/>
      </c>
      <c r="Y128">
        <f>IF(Y$5&lt;&gt;1,"",IF(SUMPRODUCT($C$52:$C$55,--(Y52:Y55&lt;&gt;""))=0,"",SUMPRODUCT($C$52:$C$55,Y52:Y55)/SUMPRODUCT($C$52:$C$55,--(Y52:Y55&lt;&gt;""))*$C128))</f>
        <v/>
      </c>
      <c r="Z128">
        <f>IF(Z$5&lt;&gt;1,"",IF(SUMPRODUCT($C$52:$C$55,--(Z52:Z55&lt;&gt;""))=0,"",SUMPRODUCT($C$52:$C$55,Z52:Z55)/SUMPRODUCT($C$52:$C$55,--(Z52:Z55&lt;&gt;""))*$C128))</f>
        <v/>
      </c>
      <c r="AA128">
        <f>IF(AA$5&lt;&gt;1,"",IF(SUMPRODUCT($C$52:$C$55,--(AA52:AA55&lt;&gt;""))=0,"",SUMPRODUCT($C$52:$C$55,AA52:AA55)/SUMPRODUCT($C$52:$C$55,--(AA52:AA55&lt;&gt;""))*$C128))</f>
        <v/>
      </c>
      <c r="AB128">
        <f>IF(AB$5&lt;&gt;1,"",IF(SUMPRODUCT($C$52:$C$55,--(AB52:AB55&lt;&gt;""))=0,"",SUMPRODUCT($C$52:$C$55,AB52:AB55)/SUMPRODUCT($C$52:$C$55,--(AB52:AB55&lt;&gt;""))*$C128))</f>
        <v/>
      </c>
      <c r="AC128">
        <f>IF(AC$5&lt;&gt;1,"",IF(SUMPRODUCT($C$52:$C$55,--(AC52:AC55&lt;&gt;""))=0,"",SUMPRODUCT($C$52:$C$55,AC52:AC55)/SUMPRODUCT($C$52:$C$55,--(AC52:AC55&lt;&gt;""))*$C128))</f>
        <v/>
      </c>
      <c r="AD128">
        <f>IF(AD$5&lt;&gt;1,"",IF(SUMPRODUCT($C$52:$C$55,--(AD52:AD55&lt;&gt;""))=0,"",SUMPRODUCT($C$52:$C$55,AD52:AD55)/SUMPRODUCT($C$52:$C$55,--(AD52:AD55&lt;&gt;""))*$C128))</f>
        <v/>
      </c>
      <c r="AE128">
        <f>IF(AE$5&lt;&gt;1,"",IF(SUMPRODUCT($C$52:$C$55,--(AE52:AE55&lt;&gt;""))=0,"",SUMPRODUCT($C$52:$C$55,AE52:AE55)/SUMPRODUCT($C$52:$C$55,--(AE52:AE55&lt;&gt;""))*$C128))</f>
        <v/>
      </c>
      <c r="AF128">
        <f>IF(AF$5&lt;&gt;1,"",IF(SUMPRODUCT($C$52:$C$55,--(AF52:AF55&lt;&gt;""))=0,"",SUMPRODUCT($C$52:$C$55,AF52:AF55)/SUMPRODUCT($C$52:$C$55,--(AF52:AF55&lt;&gt;""))*$C128))</f>
        <v/>
      </c>
      <c r="AG128">
        <f>IF(AG$5&lt;&gt;1,"",IF(SUMPRODUCT($C$52:$C$55,--(AG52:AG55&lt;&gt;""))=0,"",SUMPRODUCT($C$52:$C$55,AG52:AG55)/SUMPRODUCT($C$52:$C$55,--(AG52:AG55&lt;&gt;""))*$C128))</f>
        <v/>
      </c>
      <c r="AH128">
        <f>IF(AH$5&lt;&gt;1,"",IF(SUMPRODUCT($C$52:$C$55,--(AH52:AH55&lt;&gt;""))=0,"",SUMPRODUCT($C$52:$C$55,AH52:AH55)/SUMPRODUCT($C$52:$C$55,--(AH52:AH55&lt;&gt;""))*$C128))</f>
        <v/>
      </c>
      <c r="AI128">
        <f>IF(AI$5&lt;&gt;1,"",IF(SUMPRODUCT($C$52:$C$55,--(AI52:AI55&lt;&gt;""))=0,"",SUMPRODUCT($C$52:$C$55,AI52:AI55)/SUMPRODUCT($C$52:$C$55,--(AI52:AI55&lt;&gt;""))*$C128))</f>
        <v/>
      </c>
      <c r="AJ128">
        <f>IF(AJ$5&lt;&gt;1,"",IF(SUMPRODUCT($C$52:$C$55,--(AJ52:AJ55&lt;&gt;""))=0,"",SUMPRODUCT($C$52:$C$55,AJ52:AJ55)/SUMPRODUCT($C$52:$C$55,--(AJ52:AJ55&lt;&gt;""))*$C128))</f>
        <v/>
      </c>
      <c r="AK128">
        <f>IF(AK$5&lt;&gt;1,"",IF(SUMPRODUCT($C$52:$C$55,--(AK52:AK55&lt;&gt;""))=0,"",SUMPRODUCT($C$52:$C$55,AK52:AK55)/SUMPRODUCT($C$52:$C$55,--(AK52:AK55&lt;&gt;""))*$C128))</f>
        <v/>
      </c>
      <c r="AL128">
        <f>IF(AL$5&lt;&gt;1,"",IF(SUMPRODUCT($C$52:$C$55,--(AL52:AL55&lt;&gt;""))=0,"",SUMPRODUCT($C$52:$C$55,AL52:AL55)/SUMPRODUCT($C$52:$C$55,--(AL52:AL55&lt;&gt;""))*$C128))</f>
        <v/>
      </c>
      <c r="AM128">
        <f>IF(AM$5&lt;&gt;1,"",IF(SUMPRODUCT($C$52:$C$55,--(AM52:AM55&lt;&gt;""))=0,"",SUMPRODUCT($C$52:$C$55,AM52:AM55)/SUMPRODUCT($C$52:$C$55,--(AM52:AM55&lt;&gt;""))*$C128))</f>
        <v/>
      </c>
      <c r="AN128">
        <f>IF(AN$5&lt;&gt;1,"",IF(SUMPRODUCT($C$52:$C$55,--(AN52:AN55&lt;&gt;""))=0,"",SUMPRODUCT($C$52:$C$55,AN52:AN55)/SUMPRODUCT($C$52:$C$55,--(AN52:AN55&lt;&gt;""))*$C128))</f>
        <v/>
      </c>
      <c r="AO128">
        <f>IF(AO$5&lt;&gt;1,"",IF(SUMPRODUCT($C$52:$C$55,--(AO52:AO55&lt;&gt;""))=0,"",SUMPRODUCT($C$52:$C$55,AO52:AO55)/SUMPRODUCT($C$52:$C$55,--(AO52:AO55&lt;&gt;""))*$C128))</f>
        <v/>
      </c>
      <c r="AP128">
        <f>IF(AP$5&lt;&gt;1,"",IF(SUMPRODUCT($C$52:$C$55,--(AP52:AP55&lt;&gt;""))=0,"",SUMPRODUCT($C$52:$C$55,AP52:AP55)/SUMPRODUCT($C$52:$C$55,--(AP52:AP55&lt;&gt;""))*$C128))</f>
        <v/>
      </c>
      <c r="AQ128">
        <f>IF(AQ$5&lt;&gt;1,"",IF(SUMPRODUCT($C$52:$C$55,--(AQ52:AQ55&lt;&gt;""))=0,"",SUMPRODUCT($C$52:$C$55,AQ52:AQ55)/SUMPRODUCT($C$52:$C$55,--(AQ52:AQ55&lt;&gt;""))*$C128))</f>
        <v/>
      </c>
      <c r="AR128">
        <f>IF(AR$5&lt;&gt;1,"",IF(SUMPRODUCT($C$52:$C$55,--(AR52:AR55&lt;&gt;""))=0,"",SUMPRODUCT($C$52:$C$55,AR52:AR55)/SUMPRODUCT($C$52:$C$55,--(AR52:AR55&lt;&gt;""))*$C128))</f>
        <v/>
      </c>
      <c r="AS128">
        <f>IF(AS$5&lt;&gt;1,"",IF(SUMPRODUCT($C$52:$C$55,--(AS52:AS55&lt;&gt;""))=0,"",SUMPRODUCT($C$52:$C$55,AS52:AS55)/SUMPRODUCT($C$52:$C$55,--(AS52:AS55&lt;&gt;""))*$C128))</f>
        <v/>
      </c>
      <c r="AT128">
        <f>IF(AT$5&lt;&gt;1,"",IF(SUMPRODUCT($C$52:$C$55,--(AT52:AT55&lt;&gt;""))=0,"",SUMPRODUCT($C$52:$C$55,AT52:AT55)/SUMPRODUCT($C$52:$C$55,--(AT52:AT55&lt;&gt;""))*$C128))</f>
        <v/>
      </c>
      <c r="AU128">
        <f>IF(AU$5&lt;&gt;1,"",IF(SUMPRODUCT($C$52:$C$55,--(AU52:AU55&lt;&gt;""))=0,"",SUMPRODUCT($C$52:$C$55,AU52:AU55)/SUMPRODUCT($C$52:$C$55,--(AU52:AU55&lt;&gt;""))*$C128))</f>
        <v/>
      </c>
      <c r="AV128">
        <f>IF(AV$5&lt;&gt;1,"",IF(SUMPRODUCT($C$52:$C$55,--(AV52:AV55&lt;&gt;""))=0,"",SUMPRODUCT($C$52:$C$55,AV52:AV55)/SUMPRODUCT($C$52:$C$55,--(AV52:AV55&lt;&gt;""))*$C128))</f>
        <v/>
      </c>
      <c r="AW128">
        <f>IF(AW$5&lt;&gt;1,"",IF(SUMPRODUCT($C$52:$C$55,--(AW52:AW55&lt;&gt;""))=0,"",SUMPRODUCT($C$52:$C$55,AW52:AW55)/SUMPRODUCT($C$52:$C$55,--(AW52:AW55&lt;&gt;""))*$C128))</f>
        <v/>
      </c>
      <c r="AX128">
        <f>IF(AX$5&lt;&gt;1,"",IF(SUMPRODUCT($C$52:$C$55,--(AX52:AX55&lt;&gt;""))=0,"",SUMPRODUCT($C$52:$C$55,AX52:AX55)/SUMPRODUCT($C$52:$C$55,--(AX52:AX55&lt;&gt;""))*$C128))</f>
        <v/>
      </c>
      <c r="AY128">
        <f>IF(AY$5&lt;&gt;1,"",IF(SUMPRODUCT($C$52:$C$55,--(AY52:AY55&lt;&gt;""))=0,"",SUMPRODUCT($C$52:$C$55,AY52:AY55)/SUMPRODUCT($C$52:$C$55,--(AY52:AY55&lt;&gt;""))*$C128))</f>
        <v/>
      </c>
      <c r="AZ128">
        <f>IF(AZ$5&lt;&gt;1,"",IF(SUMPRODUCT($C$52:$C$55,--(AZ52:AZ55&lt;&gt;""))=0,"",SUMPRODUCT($C$52:$C$55,AZ52:AZ55)/SUMPRODUCT($C$52:$C$55,--(AZ52:AZ55&lt;&gt;""))*$C128))</f>
        <v/>
      </c>
      <c r="BA128">
        <f>IF(BA$5&lt;&gt;1,"",IF(SUMPRODUCT($C$52:$C$55,--(BA52:BA55&lt;&gt;""))=0,"",SUMPRODUCT($C$52:$C$55,BA52:BA55)/SUMPRODUCT($C$52:$C$55,--(BA52:BA55&lt;&gt;""))*$C128))</f>
        <v/>
      </c>
      <c r="BB128">
        <f>IF(BB$5&lt;&gt;1,"",IF(SUMPRODUCT($C$52:$C$55,--(BB52:BB55&lt;&gt;""))=0,"",SUMPRODUCT($C$52:$C$55,BB52:BB55)/SUMPRODUCT($C$52:$C$55,--(BB52:BB55&lt;&gt;""))*$C128))</f>
        <v/>
      </c>
    </row>
    <row r="129">
      <c r="A129" s="16" t="inlineStr">
        <is>
          <t>P2</t>
        </is>
      </c>
      <c r="B129" s="16" t="inlineStr">
        <is>
          <t>노조·근로자대표의 혁신 태도</t>
        </is>
      </c>
      <c r="C129" s="41">
        <f>SUM($C$56:$C$60)</f>
        <v/>
      </c>
      <c r="E129">
        <f>IF(E$5&lt;&gt;1,"",IF(SUMPRODUCT($C$56:$C$60,--(E56:E60&lt;&gt;""))=0,"",SUMPRODUCT($C$56:$C$60,E56:E60)/SUMPRODUCT($C$56:$C$60,--(E56:E60&lt;&gt;""))*$C129))</f>
        <v/>
      </c>
      <c r="F129">
        <f>IF(F$5&lt;&gt;1,"",IF(SUMPRODUCT($C$56:$C$60,--(F56:F60&lt;&gt;""))=0,"",SUMPRODUCT($C$56:$C$60,F56:F60)/SUMPRODUCT($C$56:$C$60,--(F56:F60&lt;&gt;""))*$C129))</f>
        <v/>
      </c>
      <c r="G129">
        <f>IF(G$5&lt;&gt;1,"",IF(SUMPRODUCT($C$56:$C$60,--(G56:G60&lt;&gt;""))=0,"",SUMPRODUCT($C$56:$C$60,G56:G60)/SUMPRODUCT($C$56:$C$60,--(G56:G60&lt;&gt;""))*$C129))</f>
        <v/>
      </c>
      <c r="H129">
        <f>IF(H$5&lt;&gt;1,"",IF(SUMPRODUCT($C$56:$C$60,--(H56:H60&lt;&gt;""))=0,"",SUMPRODUCT($C$56:$C$60,H56:H60)/SUMPRODUCT($C$56:$C$60,--(H56:H60&lt;&gt;""))*$C129))</f>
        <v/>
      </c>
      <c r="I129">
        <f>IF(I$5&lt;&gt;1,"",IF(SUMPRODUCT($C$56:$C$60,--(I56:I60&lt;&gt;""))=0,"",SUMPRODUCT($C$56:$C$60,I56:I60)/SUMPRODUCT($C$56:$C$60,--(I56:I60&lt;&gt;""))*$C129))</f>
        <v/>
      </c>
      <c r="J129">
        <f>IF(J$5&lt;&gt;1,"",IF(SUMPRODUCT($C$56:$C$60,--(J56:J60&lt;&gt;""))=0,"",SUMPRODUCT($C$56:$C$60,J56:J60)/SUMPRODUCT($C$56:$C$60,--(J56:J60&lt;&gt;""))*$C129))</f>
        <v/>
      </c>
      <c r="K129">
        <f>IF(K$5&lt;&gt;1,"",IF(SUMPRODUCT($C$56:$C$60,--(K56:K60&lt;&gt;""))=0,"",SUMPRODUCT($C$56:$C$60,K56:K60)/SUMPRODUCT($C$56:$C$60,--(K56:K60&lt;&gt;""))*$C129))</f>
        <v/>
      </c>
      <c r="L129">
        <f>IF(L$5&lt;&gt;1,"",IF(SUMPRODUCT($C$56:$C$60,--(L56:L60&lt;&gt;""))=0,"",SUMPRODUCT($C$56:$C$60,L56:L60)/SUMPRODUCT($C$56:$C$60,--(L56:L60&lt;&gt;""))*$C129))</f>
        <v/>
      </c>
      <c r="M129">
        <f>IF(M$5&lt;&gt;1,"",IF(SUMPRODUCT($C$56:$C$60,--(M56:M60&lt;&gt;""))=0,"",SUMPRODUCT($C$56:$C$60,M56:M60)/SUMPRODUCT($C$56:$C$60,--(M56:M60&lt;&gt;""))*$C129))</f>
        <v/>
      </c>
      <c r="N129">
        <f>IF(N$5&lt;&gt;1,"",IF(SUMPRODUCT($C$56:$C$60,--(N56:N60&lt;&gt;""))=0,"",SUMPRODUCT($C$56:$C$60,N56:N60)/SUMPRODUCT($C$56:$C$60,--(N56:N60&lt;&gt;""))*$C129))</f>
        <v/>
      </c>
      <c r="O129">
        <f>IF(O$5&lt;&gt;1,"",IF(SUMPRODUCT($C$56:$C$60,--(O56:O60&lt;&gt;""))=0,"",SUMPRODUCT($C$56:$C$60,O56:O60)/SUMPRODUCT($C$56:$C$60,--(O56:O60&lt;&gt;""))*$C129))</f>
        <v/>
      </c>
      <c r="P129">
        <f>IF(P$5&lt;&gt;1,"",IF(SUMPRODUCT($C$56:$C$60,--(P56:P60&lt;&gt;""))=0,"",SUMPRODUCT($C$56:$C$60,P56:P60)/SUMPRODUCT($C$56:$C$60,--(P56:P60&lt;&gt;""))*$C129))</f>
        <v/>
      </c>
      <c r="Q129">
        <f>IF(Q$5&lt;&gt;1,"",IF(SUMPRODUCT($C$56:$C$60,--(Q56:Q60&lt;&gt;""))=0,"",SUMPRODUCT($C$56:$C$60,Q56:Q60)/SUMPRODUCT($C$56:$C$60,--(Q56:Q60&lt;&gt;""))*$C129))</f>
        <v/>
      </c>
      <c r="R129">
        <f>IF(R$5&lt;&gt;1,"",IF(SUMPRODUCT($C$56:$C$60,--(R56:R60&lt;&gt;""))=0,"",SUMPRODUCT($C$56:$C$60,R56:R60)/SUMPRODUCT($C$56:$C$60,--(R56:R60&lt;&gt;""))*$C129))</f>
        <v/>
      </c>
      <c r="S129">
        <f>IF(S$5&lt;&gt;1,"",IF(SUMPRODUCT($C$56:$C$60,--(S56:S60&lt;&gt;""))=0,"",SUMPRODUCT($C$56:$C$60,S56:S60)/SUMPRODUCT($C$56:$C$60,--(S56:S60&lt;&gt;""))*$C129))</f>
        <v/>
      </c>
      <c r="T129">
        <f>IF(T$5&lt;&gt;1,"",IF(SUMPRODUCT($C$56:$C$60,--(T56:T60&lt;&gt;""))=0,"",SUMPRODUCT($C$56:$C$60,T56:T60)/SUMPRODUCT($C$56:$C$60,--(T56:T60&lt;&gt;""))*$C129))</f>
        <v/>
      </c>
      <c r="U129">
        <f>IF(U$5&lt;&gt;1,"",IF(SUMPRODUCT($C$56:$C$60,--(U56:U60&lt;&gt;""))=0,"",SUMPRODUCT($C$56:$C$60,U56:U60)/SUMPRODUCT($C$56:$C$60,--(U56:U60&lt;&gt;""))*$C129))</f>
        <v/>
      </c>
      <c r="V129">
        <f>IF(V$5&lt;&gt;1,"",IF(SUMPRODUCT($C$56:$C$60,--(V56:V60&lt;&gt;""))=0,"",SUMPRODUCT($C$56:$C$60,V56:V60)/SUMPRODUCT($C$56:$C$60,--(V56:V60&lt;&gt;""))*$C129))</f>
        <v/>
      </c>
      <c r="W129">
        <f>IF(W$5&lt;&gt;1,"",IF(SUMPRODUCT($C$56:$C$60,--(W56:W60&lt;&gt;""))=0,"",SUMPRODUCT($C$56:$C$60,W56:W60)/SUMPRODUCT($C$56:$C$60,--(W56:W60&lt;&gt;""))*$C129))</f>
        <v/>
      </c>
      <c r="X129">
        <f>IF(X$5&lt;&gt;1,"",IF(SUMPRODUCT($C$56:$C$60,--(X56:X60&lt;&gt;""))=0,"",SUMPRODUCT($C$56:$C$60,X56:X60)/SUMPRODUCT($C$56:$C$60,--(X56:X60&lt;&gt;""))*$C129))</f>
        <v/>
      </c>
      <c r="Y129">
        <f>IF(Y$5&lt;&gt;1,"",IF(SUMPRODUCT($C$56:$C$60,--(Y56:Y60&lt;&gt;""))=0,"",SUMPRODUCT($C$56:$C$60,Y56:Y60)/SUMPRODUCT($C$56:$C$60,--(Y56:Y60&lt;&gt;""))*$C129))</f>
        <v/>
      </c>
      <c r="Z129">
        <f>IF(Z$5&lt;&gt;1,"",IF(SUMPRODUCT($C$56:$C$60,--(Z56:Z60&lt;&gt;""))=0,"",SUMPRODUCT($C$56:$C$60,Z56:Z60)/SUMPRODUCT($C$56:$C$60,--(Z56:Z60&lt;&gt;""))*$C129))</f>
        <v/>
      </c>
      <c r="AA129">
        <f>IF(AA$5&lt;&gt;1,"",IF(SUMPRODUCT($C$56:$C$60,--(AA56:AA60&lt;&gt;""))=0,"",SUMPRODUCT($C$56:$C$60,AA56:AA60)/SUMPRODUCT($C$56:$C$60,--(AA56:AA60&lt;&gt;""))*$C129))</f>
        <v/>
      </c>
      <c r="AB129">
        <f>IF(AB$5&lt;&gt;1,"",IF(SUMPRODUCT($C$56:$C$60,--(AB56:AB60&lt;&gt;""))=0,"",SUMPRODUCT($C$56:$C$60,AB56:AB60)/SUMPRODUCT($C$56:$C$60,--(AB56:AB60&lt;&gt;""))*$C129))</f>
        <v/>
      </c>
      <c r="AC129">
        <f>IF(AC$5&lt;&gt;1,"",IF(SUMPRODUCT($C$56:$C$60,--(AC56:AC60&lt;&gt;""))=0,"",SUMPRODUCT($C$56:$C$60,AC56:AC60)/SUMPRODUCT($C$56:$C$60,--(AC56:AC60&lt;&gt;""))*$C129))</f>
        <v/>
      </c>
      <c r="AD129">
        <f>IF(AD$5&lt;&gt;1,"",IF(SUMPRODUCT($C$56:$C$60,--(AD56:AD60&lt;&gt;""))=0,"",SUMPRODUCT($C$56:$C$60,AD56:AD60)/SUMPRODUCT($C$56:$C$60,--(AD56:AD60&lt;&gt;""))*$C129))</f>
        <v/>
      </c>
      <c r="AE129">
        <f>IF(AE$5&lt;&gt;1,"",IF(SUMPRODUCT($C$56:$C$60,--(AE56:AE60&lt;&gt;""))=0,"",SUMPRODUCT($C$56:$C$60,AE56:AE60)/SUMPRODUCT($C$56:$C$60,--(AE56:AE60&lt;&gt;""))*$C129))</f>
        <v/>
      </c>
      <c r="AF129">
        <f>IF(AF$5&lt;&gt;1,"",IF(SUMPRODUCT($C$56:$C$60,--(AF56:AF60&lt;&gt;""))=0,"",SUMPRODUCT($C$56:$C$60,AF56:AF60)/SUMPRODUCT($C$56:$C$60,--(AF56:AF60&lt;&gt;""))*$C129))</f>
        <v/>
      </c>
      <c r="AG129">
        <f>IF(AG$5&lt;&gt;1,"",IF(SUMPRODUCT($C$56:$C$60,--(AG56:AG60&lt;&gt;""))=0,"",SUMPRODUCT($C$56:$C$60,AG56:AG60)/SUMPRODUCT($C$56:$C$60,--(AG56:AG60&lt;&gt;""))*$C129))</f>
        <v/>
      </c>
      <c r="AH129">
        <f>IF(AH$5&lt;&gt;1,"",IF(SUMPRODUCT($C$56:$C$60,--(AH56:AH60&lt;&gt;""))=0,"",SUMPRODUCT($C$56:$C$60,AH56:AH60)/SUMPRODUCT($C$56:$C$60,--(AH56:AH60&lt;&gt;""))*$C129))</f>
        <v/>
      </c>
      <c r="AI129">
        <f>IF(AI$5&lt;&gt;1,"",IF(SUMPRODUCT($C$56:$C$60,--(AI56:AI60&lt;&gt;""))=0,"",SUMPRODUCT($C$56:$C$60,AI56:AI60)/SUMPRODUCT($C$56:$C$60,--(AI56:AI60&lt;&gt;""))*$C129))</f>
        <v/>
      </c>
      <c r="AJ129">
        <f>IF(AJ$5&lt;&gt;1,"",IF(SUMPRODUCT($C$56:$C$60,--(AJ56:AJ60&lt;&gt;""))=0,"",SUMPRODUCT($C$56:$C$60,AJ56:AJ60)/SUMPRODUCT($C$56:$C$60,--(AJ56:AJ60&lt;&gt;""))*$C129))</f>
        <v/>
      </c>
      <c r="AK129">
        <f>IF(AK$5&lt;&gt;1,"",IF(SUMPRODUCT($C$56:$C$60,--(AK56:AK60&lt;&gt;""))=0,"",SUMPRODUCT($C$56:$C$60,AK56:AK60)/SUMPRODUCT($C$56:$C$60,--(AK56:AK60&lt;&gt;""))*$C129))</f>
        <v/>
      </c>
      <c r="AL129">
        <f>IF(AL$5&lt;&gt;1,"",IF(SUMPRODUCT($C$56:$C$60,--(AL56:AL60&lt;&gt;""))=0,"",SUMPRODUCT($C$56:$C$60,AL56:AL60)/SUMPRODUCT($C$56:$C$60,--(AL56:AL60&lt;&gt;""))*$C129))</f>
        <v/>
      </c>
      <c r="AM129">
        <f>IF(AM$5&lt;&gt;1,"",IF(SUMPRODUCT($C$56:$C$60,--(AM56:AM60&lt;&gt;""))=0,"",SUMPRODUCT($C$56:$C$60,AM56:AM60)/SUMPRODUCT($C$56:$C$60,--(AM56:AM60&lt;&gt;""))*$C129))</f>
        <v/>
      </c>
      <c r="AN129">
        <f>IF(AN$5&lt;&gt;1,"",IF(SUMPRODUCT($C$56:$C$60,--(AN56:AN60&lt;&gt;""))=0,"",SUMPRODUCT($C$56:$C$60,AN56:AN60)/SUMPRODUCT($C$56:$C$60,--(AN56:AN60&lt;&gt;""))*$C129))</f>
        <v/>
      </c>
      <c r="AO129">
        <f>IF(AO$5&lt;&gt;1,"",IF(SUMPRODUCT($C$56:$C$60,--(AO56:AO60&lt;&gt;""))=0,"",SUMPRODUCT($C$56:$C$60,AO56:AO60)/SUMPRODUCT($C$56:$C$60,--(AO56:AO60&lt;&gt;""))*$C129))</f>
        <v/>
      </c>
      <c r="AP129">
        <f>IF(AP$5&lt;&gt;1,"",IF(SUMPRODUCT($C$56:$C$60,--(AP56:AP60&lt;&gt;""))=0,"",SUMPRODUCT($C$56:$C$60,AP56:AP60)/SUMPRODUCT($C$56:$C$60,--(AP56:AP60&lt;&gt;""))*$C129))</f>
        <v/>
      </c>
      <c r="AQ129">
        <f>IF(AQ$5&lt;&gt;1,"",IF(SUMPRODUCT($C$56:$C$60,--(AQ56:AQ60&lt;&gt;""))=0,"",SUMPRODUCT($C$56:$C$60,AQ56:AQ60)/SUMPRODUCT($C$56:$C$60,--(AQ56:AQ60&lt;&gt;""))*$C129))</f>
        <v/>
      </c>
      <c r="AR129">
        <f>IF(AR$5&lt;&gt;1,"",IF(SUMPRODUCT($C$56:$C$60,--(AR56:AR60&lt;&gt;""))=0,"",SUMPRODUCT($C$56:$C$60,AR56:AR60)/SUMPRODUCT($C$56:$C$60,--(AR56:AR60&lt;&gt;""))*$C129))</f>
        <v/>
      </c>
      <c r="AS129">
        <f>IF(AS$5&lt;&gt;1,"",IF(SUMPRODUCT($C$56:$C$60,--(AS56:AS60&lt;&gt;""))=0,"",SUMPRODUCT($C$56:$C$60,AS56:AS60)/SUMPRODUCT($C$56:$C$60,--(AS56:AS60&lt;&gt;""))*$C129))</f>
        <v/>
      </c>
      <c r="AT129">
        <f>IF(AT$5&lt;&gt;1,"",IF(SUMPRODUCT($C$56:$C$60,--(AT56:AT60&lt;&gt;""))=0,"",SUMPRODUCT($C$56:$C$60,AT56:AT60)/SUMPRODUCT($C$56:$C$60,--(AT56:AT60&lt;&gt;""))*$C129))</f>
        <v/>
      </c>
      <c r="AU129">
        <f>IF(AU$5&lt;&gt;1,"",IF(SUMPRODUCT($C$56:$C$60,--(AU56:AU60&lt;&gt;""))=0,"",SUMPRODUCT($C$56:$C$60,AU56:AU60)/SUMPRODUCT($C$56:$C$60,--(AU56:AU60&lt;&gt;""))*$C129))</f>
        <v/>
      </c>
      <c r="AV129">
        <f>IF(AV$5&lt;&gt;1,"",IF(SUMPRODUCT($C$56:$C$60,--(AV56:AV60&lt;&gt;""))=0,"",SUMPRODUCT($C$56:$C$60,AV56:AV60)/SUMPRODUCT($C$56:$C$60,--(AV56:AV60&lt;&gt;""))*$C129))</f>
        <v/>
      </c>
      <c r="AW129">
        <f>IF(AW$5&lt;&gt;1,"",IF(SUMPRODUCT($C$56:$C$60,--(AW56:AW60&lt;&gt;""))=0,"",SUMPRODUCT($C$56:$C$60,AW56:AW60)/SUMPRODUCT($C$56:$C$60,--(AW56:AW60&lt;&gt;""))*$C129))</f>
        <v/>
      </c>
      <c r="AX129">
        <f>IF(AX$5&lt;&gt;1,"",IF(SUMPRODUCT($C$56:$C$60,--(AX56:AX60&lt;&gt;""))=0,"",SUMPRODUCT($C$56:$C$60,AX56:AX60)/SUMPRODUCT($C$56:$C$60,--(AX56:AX60&lt;&gt;""))*$C129))</f>
        <v/>
      </c>
      <c r="AY129">
        <f>IF(AY$5&lt;&gt;1,"",IF(SUMPRODUCT($C$56:$C$60,--(AY56:AY60&lt;&gt;""))=0,"",SUMPRODUCT($C$56:$C$60,AY56:AY60)/SUMPRODUCT($C$56:$C$60,--(AY56:AY60&lt;&gt;""))*$C129))</f>
        <v/>
      </c>
      <c r="AZ129">
        <f>IF(AZ$5&lt;&gt;1,"",IF(SUMPRODUCT($C$56:$C$60,--(AZ56:AZ60&lt;&gt;""))=0,"",SUMPRODUCT($C$56:$C$60,AZ56:AZ60)/SUMPRODUCT($C$56:$C$60,--(AZ56:AZ60&lt;&gt;""))*$C129))</f>
        <v/>
      </c>
      <c r="BA129">
        <f>IF(BA$5&lt;&gt;1,"",IF(SUMPRODUCT($C$56:$C$60,--(BA56:BA60&lt;&gt;""))=0,"",SUMPRODUCT($C$56:$C$60,BA56:BA60)/SUMPRODUCT($C$56:$C$60,--(BA56:BA60&lt;&gt;""))*$C129))</f>
        <v/>
      </c>
      <c r="BB129">
        <f>IF(BB$5&lt;&gt;1,"",IF(SUMPRODUCT($C$56:$C$60,--(BB56:BB60&lt;&gt;""))=0,"",SUMPRODUCT($C$56:$C$60,BB56:BB60)/SUMPRODUCT($C$56:$C$60,--(BB56:BB60&lt;&gt;""))*$C129))</f>
        <v/>
      </c>
    </row>
    <row r="130">
      <c r="A130" s="16" t="inlineStr">
        <is>
          <t>P3</t>
        </is>
      </c>
      <c r="B130" s="16" t="inlineStr">
        <is>
          <t>노사협력 프로그램</t>
        </is>
      </c>
      <c r="C130" s="41">
        <f>SUM($C$61:$C$65)</f>
        <v/>
      </c>
      <c r="E130">
        <f>IF(E$5&lt;&gt;1,"",IF(SUMPRODUCT($C$61:$C$65,--(E61:E65&lt;&gt;""))=0,"",SUMPRODUCT($C$61:$C$65,E61:E65)/SUMPRODUCT($C$61:$C$65,--(E61:E65&lt;&gt;""))*$C130))</f>
        <v/>
      </c>
      <c r="F130">
        <f>IF(F$5&lt;&gt;1,"",IF(SUMPRODUCT($C$61:$C$65,--(F61:F65&lt;&gt;""))=0,"",SUMPRODUCT($C$61:$C$65,F61:F65)/SUMPRODUCT($C$61:$C$65,--(F61:F65&lt;&gt;""))*$C130))</f>
        <v/>
      </c>
      <c r="G130">
        <f>IF(G$5&lt;&gt;1,"",IF(SUMPRODUCT($C$61:$C$65,--(G61:G65&lt;&gt;""))=0,"",SUMPRODUCT($C$61:$C$65,G61:G65)/SUMPRODUCT($C$61:$C$65,--(G61:G65&lt;&gt;""))*$C130))</f>
        <v/>
      </c>
      <c r="H130">
        <f>IF(H$5&lt;&gt;1,"",IF(SUMPRODUCT($C$61:$C$65,--(H61:H65&lt;&gt;""))=0,"",SUMPRODUCT($C$61:$C$65,H61:H65)/SUMPRODUCT($C$61:$C$65,--(H61:H65&lt;&gt;""))*$C130))</f>
        <v/>
      </c>
      <c r="I130">
        <f>IF(I$5&lt;&gt;1,"",IF(SUMPRODUCT($C$61:$C$65,--(I61:I65&lt;&gt;""))=0,"",SUMPRODUCT($C$61:$C$65,I61:I65)/SUMPRODUCT($C$61:$C$65,--(I61:I65&lt;&gt;""))*$C130))</f>
        <v/>
      </c>
      <c r="J130">
        <f>IF(J$5&lt;&gt;1,"",IF(SUMPRODUCT($C$61:$C$65,--(J61:J65&lt;&gt;""))=0,"",SUMPRODUCT($C$61:$C$65,J61:J65)/SUMPRODUCT($C$61:$C$65,--(J61:J65&lt;&gt;""))*$C130))</f>
        <v/>
      </c>
      <c r="K130">
        <f>IF(K$5&lt;&gt;1,"",IF(SUMPRODUCT($C$61:$C$65,--(K61:K65&lt;&gt;""))=0,"",SUMPRODUCT($C$61:$C$65,K61:K65)/SUMPRODUCT($C$61:$C$65,--(K61:K65&lt;&gt;""))*$C130))</f>
        <v/>
      </c>
      <c r="L130">
        <f>IF(L$5&lt;&gt;1,"",IF(SUMPRODUCT($C$61:$C$65,--(L61:L65&lt;&gt;""))=0,"",SUMPRODUCT($C$61:$C$65,L61:L65)/SUMPRODUCT($C$61:$C$65,--(L61:L65&lt;&gt;""))*$C130))</f>
        <v/>
      </c>
      <c r="M130">
        <f>IF(M$5&lt;&gt;1,"",IF(SUMPRODUCT($C$61:$C$65,--(M61:M65&lt;&gt;""))=0,"",SUMPRODUCT($C$61:$C$65,M61:M65)/SUMPRODUCT($C$61:$C$65,--(M61:M65&lt;&gt;""))*$C130))</f>
        <v/>
      </c>
      <c r="N130">
        <f>IF(N$5&lt;&gt;1,"",IF(SUMPRODUCT($C$61:$C$65,--(N61:N65&lt;&gt;""))=0,"",SUMPRODUCT($C$61:$C$65,N61:N65)/SUMPRODUCT($C$61:$C$65,--(N61:N65&lt;&gt;""))*$C130))</f>
        <v/>
      </c>
      <c r="O130">
        <f>IF(O$5&lt;&gt;1,"",IF(SUMPRODUCT($C$61:$C$65,--(O61:O65&lt;&gt;""))=0,"",SUMPRODUCT($C$61:$C$65,O61:O65)/SUMPRODUCT($C$61:$C$65,--(O61:O65&lt;&gt;""))*$C130))</f>
        <v/>
      </c>
      <c r="P130">
        <f>IF(P$5&lt;&gt;1,"",IF(SUMPRODUCT($C$61:$C$65,--(P61:P65&lt;&gt;""))=0,"",SUMPRODUCT($C$61:$C$65,P61:P65)/SUMPRODUCT($C$61:$C$65,--(P61:P65&lt;&gt;""))*$C130))</f>
        <v/>
      </c>
      <c r="Q130">
        <f>IF(Q$5&lt;&gt;1,"",IF(SUMPRODUCT($C$61:$C$65,--(Q61:Q65&lt;&gt;""))=0,"",SUMPRODUCT($C$61:$C$65,Q61:Q65)/SUMPRODUCT($C$61:$C$65,--(Q61:Q65&lt;&gt;""))*$C130))</f>
        <v/>
      </c>
      <c r="R130">
        <f>IF(R$5&lt;&gt;1,"",IF(SUMPRODUCT($C$61:$C$65,--(R61:R65&lt;&gt;""))=0,"",SUMPRODUCT($C$61:$C$65,R61:R65)/SUMPRODUCT($C$61:$C$65,--(R61:R65&lt;&gt;""))*$C130))</f>
        <v/>
      </c>
      <c r="S130">
        <f>IF(S$5&lt;&gt;1,"",IF(SUMPRODUCT($C$61:$C$65,--(S61:S65&lt;&gt;""))=0,"",SUMPRODUCT($C$61:$C$65,S61:S65)/SUMPRODUCT($C$61:$C$65,--(S61:S65&lt;&gt;""))*$C130))</f>
        <v/>
      </c>
      <c r="T130">
        <f>IF(T$5&lt;&gt;1,"",IF(SUMPRODUCT($C$61:$C$65,--(T61:T65&lt;&gt;""))=0,"",SUMPRODUCT($C$61:$C$65,T61:T65)/SUMPRODUCT($C$61:$C$65,--(T61:T65&lt;&gt;""))*$C130))</f>
        <v/>
      </c>
      <c r="U130">
        <f>IF(U$5&lt;&gt;1,"",IF(SUMPRODUCT($C$61:$C$65,--(U61:U65&lt;&gt;""))=0,"",SUMPRODUCT($C$61:$C$65,U61:U65)/SUMPRODUCT($C$61:$C$65,--(U61:U65&lt;&gt;""))*$C130))</f>
        <v/>
      </c>
      <c r="V130">
        <f>IF(V$5&lt;&gt;1,"",IF(SUMPRODUCT($C$61:$C$65,--(V61:V65&lt;&gt;""))=0,"",SUMPRODUCT($C$61:$C$65,V61:V65)/SUMPRODUCT($C$61:$C$65,--(V61:V65&lt;&gt;""))*$C130))</f>
        <v/>
      </c>
      <c r="W130">
        <f>IF(W$5&lt;&gt;1,"",IF(SUMPRODUCT($C$61:$C$65,--(W61:W65&lt;&gt;""))=0,"",SUMPRODUCT($C$61:$C$65,W61:W65)/SUMPRODUCT($C$61:$C$65,--(W61:W65&lt;&gt;""))*$C130))</f>
        <v/>
      </c>
      <c r="X130">
        <f>IF(X$5&lt;&gt;1,"",IF(SUMPRODUCT($C$61:$C$65,--(X61:X65&lt;&gt;""))=0,"",SUMPRODUCT($C$61:$C$65,X61:X65)/SUMPRODUCT($C$61:$C$65,--(X61:X65&lt;&gt;""))*$C130))</f>
        <v/>
      </c>
      <c r="Y130">
        <f>IF(Y$5&lt;&gt;1,"",IF(SUMPRODUCT($C$61:$C$65,--(Y61:Y65&lt;&gt;""))=0,"",SUMPRODUCT($C$61:$C$65,Y61:Y65)/SUMPRODUCT($C$61:$C$65,--(Y61:Y65&lt;&gt;""))*$C130))</f>
        <v/>
      </c>
      <c r="Z130">
        <f>IF(Z$5&lt;&gt;1,"",IF(SUMPRODUCT($C$61:$C$65,--(Z61:Z65&lt;&gt;""))=0,"",SUMPRODUCT($C$61:$C$65,Z61:Z65)/SUMPRODUCT($C$61:$C$65,--(Z61:Z65&lt;&gt;""))*$C130))</f>
        <v/>
      </c>
      <c r="AA130">
        <f>IF(AA$5&lt;&gt;1,"",IF(SUMPRODUCT($C$61:$C$65,--(AA61:AA65&lt;&gt;""))=0,"",SUMPRODUCT($C$61:$C$65,AA61:AA65)/SUMPRODUCT($C$61:$C$65,--(AA61:AA65&lt;&gt;""))*$C130))</f>
        <v/>
      </c>
      <c r="AB130">
        <f>IF(AB$5&lt;&gt;1,"",IF(SUMPRODUCT($C$61:$C$65,--(AB61:AB65&lt;&gt;""))=0,"",SUMPRODUCT($C$61:$C$65,AB61:AB65)/SUMPRODUCT($C$61:$C$65,--(AB61:AB65&lt;&gt;""))*$C130))</f>
        <v/>
      </c>
      <c r="AC130">
        <f>IF(AC$5&lt;&gt;1,"",IF(SUMPRODUCT($C$61:$C$65,--(AC61:AC65&lt;&gt;""))=0,"",SUMPRODUCT($C$61:$C$65,AC61:AC65)/SUMPRODUCT($C$61:$C$65,--(AC61:AC65&lt;&gt;""))*$C130))</f>
        <v/>
      </c>
      <c r="AD130">
        <f>IF(AD$5&lt;&gt;1,"",IF(SUMPRODUCT($C$61:$C$65,--(AD61:AD65&lt;&gt;""))=0,"",SUMPRODUCT($C$61:$C$65,AD61:AD65)/SUMPRODUCT($C$61:$C$65,--(AD61:AD65&lt;&gt;""))*$C130))</f>
        <v/>
      </c>
      <c r="AE130">
        <f>IF(AE$5&lt;&gt;1,"",IF(SUMPRODUCT($C$61:$C$65,--(AE61:AE65&lt;&gt;""))=0,"",SUMPRODUCT($C$61:$C$65,AE61:AE65)/SUMPRODUCT($C$61:$C$65,--(AE61:AE65&lt;&gt;""))*$C130))</f>
        <v/>
      </c>
      <c r="AF130">
        <f>IF(AF$5&lt;&gt;1,"",IF(SUMPRODUCT($C$61:$C$65,--(AF61:AF65&lt;&gt;""))=0,"",SUMPRODUCT($C$61:$C$65,AF61:AF65)/SUMPRODUCT($C$61:$C$65,--(AF61:AF65&lt;&gt;""))*$C130))</f>
        <v/>
      </c>
      <c r="AG130">
        <f>IF(AG$5&lt;&gt;1,"",IF(SUMPRODUCT($C$61:$C$65,--(AG61:AG65&lt;&gt;""))=0,"",SUMPRODUCT($C$61:$C$65,AG61:AG65)/SUMPRODUCT($C$61:$C$65,--(AG61:AG65&lt;&gt;""))*$C130))</f>
        <v/>
      </c>
      <c r="AH130">
        <f>IF(AH$5&lt;&gt;1,"",IF(SUMPRODUCT($C$61:$C$65,--(AH61:AH65&lt;&gt;""))=0,"",SUMPRODUCT($C$61:$C$65,AH61:AH65)/SUMPRODUCT($C$61:$C$65,--(AH61:AH65&lt;&gt;""))*$C130))</f>
        <v/>
      </c>
      <c r="AI130">
        <f>IF(AI$5&lt;&gt;1,"",IF(SUMPRODUCT($C$61:$C$65,--(AI61:AI65&lt;&gt;""))=0,"",SUMPRODUCT($C$61:$C$65,AI61:AI65)/SUMPRODUCT($C$61:$C$65,--(AI61:AI65&lt;&gt;""))*$C130))</f>
        <v/>
      </c>
      <c r="AJ130">
        <f>IF(AJ$5&lt;&gt;1,"",IF(SUMPRODUCT($C$61:$C$65,--(AJ61:AJ65&lt;&gt;""))=0,"",SUMPRODUCT($C$61:$C$65,AJ61:AJ65)/SUMPRODUCT($C$61:$C$65,--(AJ61:AJ65&lt;&gt;""))*$C130))</f>
        <v/>
      </c>
      <c r="AK130">
        <f>IF(AK$5&lt;&gt;1,"",IF(SUMPRODUCT($C$61:$C$65,--(AK61:AK65&lt;&gt;""))=0,"",SUMPRODUCT($C$61:$C$65,AK61:AK65)/SUMPRODUCT($C$61:$C$65,--(AK61:AK65&lt;&gt;""))*$C130))</f>
        <v/>
      </c>
      <c r="AL130">
        <f>IF(AL$5&lt;&gt;1,"",IF(SUMPRODUCT($C$61:$C$65,--(AL61:AL65&lt;&gt;""))=0,"",SUMPRODUCT($C$61:$C$65,AL61:AL65)/SUMPRODUCT($C$61:$C$65,--(AL61:AL65&lt;&gt;""))*$C130))</f>
        <v/>
      </c>
      <c r="AM130">
        <f>IF(AM$5&lt;&gt;1,"",IF(SUMPRODUCT($C$61:$C$65,--(AM61:AM65&lt;&gt;""))=0,"",SUMPRODUCT($C$61:$C$65,AM61:AM65)/SUMPRODUCT($C$61:$C$65,--(AM61:AM65&lt;&gt;""))*$C130))</f>
        <v/>
      </c>
      <c r="AN130">
        <f>IF(AN$5&lt;&gt;1,"",IF(SUMPRODUCT($C$61:$C$65,--(AN61:AN65&lt;&gt;""))=0,"",SUMPRODUCT($C$61:$C$65,AN61:AN65)/SUMPRODUCT($C$61:$C$65,--(AN61:AN65&lt;&gt;""))*$C130))</f>
        <v/>
      </c>
      <c r="AO130">
        <f>IF(AO$5&lt;&gt;1,"",IF(SUMPRODUCT($C$61:$C$65,--(AO61:AO65&lt;&gt;""))=0,"",SUMPRODUCT($C$61:$C$65,AO61:AO65)/SUMPRODUCT($C$61:$C$65,--(AO61:AO65&lt;&gt;""))*$C130))</f>
        <v/>
      </c>
      <c r="AP130">
        <f>IF(AP$5&lt;&gt;1,"",IF(SUMPRODUCT($C$61:$C$65,--(AP61:AP65&lt;&gt;""))=0,"",SUMPRODUCT($C$61:$C$65,AP61:AP65)/SUMPRODUCT($C$61:$C$65,--(AP61:AP65&lt;&gt;""))*$C130))</f>
        <v/>
      </c>
      <c r="AQ130">
        <f>IF(AQ$5&lt;&gt;1,"",IF(SUMPRODUCT($C$61:$C$65,--(AQ61:AQ65&lt;&gt;""))=0,"",SUMPRODUCT($C$61:$C$65,AQ61:AQ65)/SUMPRODUCT($C$61:$C$65,--(AQ61:AQ65&lt;&gt;""))*$C130))</f>
        <v/>
      </c>
      <c r="AR130">
        <f>IF(AR$5&lt;&gt;1,"",IF(SUMPRODUCT($C$61:$C$65,--(AR61:AR65&lt;&gt;""))=0,"",SUMPRODUCT($C$61:$C$65,AR61:AR65)/SUMPRODUCT($C$61:$C$65,--(AR61:AR65&lt;&gt;""))*$C130))</f>
        <v/>
      </c>
      <c r="AS130">
        <f>IF(AS$5&lt;&gt;1,"",IF(SUMPRODUCT($C$61:$C$65,--(AS61:AS65&lt;&gt;""))=0,"",SUMPRODUCT($C$61:$C$65,AS61:AS65)/SUMPRODUCT($C$61:$C$65,--(AS61:AS65&lt;&gt;""))*$C130))</f>
        <v/>
      </c>
      <c r="AT130">
        <f>IF(AT$5&lt;&gt;1,"",IF(SUMPRODUCT($C$61:$C$65,--(AT61:AT65&lt;&gt;""))=0,"",SUMPRODUCT($C$61:$C$65,AT61:AT65)/SUMPRODUCT($C$61:$C$65,--(AT61:AT65&lt;&gt;""))*$C130))</f>
        <v/>
      </c>
      <c r="AU130">
        <f>IF(AU$5&lt;&gt;1,"",IF(SUMPRODUCT($C$61:$C$65,--(AU61:AU65&lt;&gt;""))=0,"",SUMPRODUCT($C$61:$C$65,AU61:AU65)/SUMPRODUCT($C$61:$C$65,--(AU61:AU65&lt;&gt;""))*$C130))</f>
        <v/>
      </c>
      <c r="AV130">
        <f>IF(AV$5&lt;&gt;1,"",IF(SUMPRODUCT($C$61:$C$65,--(AV61:AV65&lt;&gt;""))=0,"",SUMPRODUCT($C$61:$C$65,AV61:AV65)/SUMPRODUCT($C$61:$C$65,--(AV61:AV65&lt;&gt;""))*$C130))</f>
        <v/>
      </c>
      <c r="AW130">
        <f>IF(AW$5&lt;&gt;1,"",IF(SUMPRODUCT($C$61:$C$65,--(AW61:AW65&lt;&gt;""))=0,"",SUMPRODUCT($C$61:$C$65,AW61:AW65)/SUMPRODUCT($C$61:$C$65,--(AW61:AW65&lt;&gt;""))*$C130))</f>
        <v/>
      </c>
      <c r="AX130">
        <f>IF(AX$5&lt;&gt;1,"",IF(SUMPRODUCT($C$61:$C$65,--(AX61:AX65&lt;&gt;""))=0,"",SUMPRODUCT($C$61:$C$65,AX61:AX65)/SUMPRODUCT($C$61:$C$65,--(AX61:AX65&lt;&gt;""))*$C130))</f>
        <v/>
      </c>
      <c r="AY130">
        <f>IF(AY$5&lt;&gt;1,"",IF(SUMPRODUCT($C$61:$C$65,--(AY61:AY65&lt;&gt;""))=0,"",SUMPRODUCT($C$61:$C$65,AY61:AY65)/SUMPRODUCT($C$61:$C$65,--(AY61:AY65&lt;&gt;""))*$C130))</f>
        <v/>
      </c>
      <c r="AZ130">
        <f>IF(AZ$5&lt;&gt;1,"",IF(SUMPRODUCT($C$61:$C$65,--(AZ61:AZ65&lt;&gt;""))=0,"",SUMPRODUCT($C$61:$C$65,AZ61:AZ65)/SUMPRODUCT($C$61:$C$65,--(AZ61:AZ65&lt;&gt;""))*$C130))</f>
        <v/>
      </c>
      <c r="BA130">
        <f>IF(BA$5&lt;&gt;1,"",IF(SUMPRODUCT($C$61:$C$65,--(BA61:BA65&lt;&gt;""))=0,"",SUMPRODUCT($C$61:$C$65,BA61:BA65)/SUMPRODUCT($C$61:$C$65,--(BA61:BA65&lt;&gt;""))*$C130))</f>
        <v/>
      </c>
      <c r="BB130">
        <f>IF(BB$5&lt;&gt;1,"",IF(SUMPRODUCT($C$61:$C$65,--(BB61:BB65&lt;&gt;""))=0,"",SUMPRODUCT($C$61:$C$65,BB61:BB65)/SUMPRODUCT($C$61:$C$65,--(BB61:BB65&lt;&gt;""))*$C130))</f>
        <v/>
      </c>
    </row>
    <row r="131">
      <c r="A131" s="16" t="inlineStr">
        <is>
          <t>P4</t>
        </is>
      </c>
      <c r="B131" s="16" t="inlineStr">
        <is>
          <t>노사갈등(미발생)</t>
        </is>
      </c>
      <c r="C131" s="41">
        <f>SUM($C$66:$C$69)</f>
        <v/>
      </c>
      <c r="E131">
        <f>IF(E$5&lt;&gt;1,"",IF(SUMPRODUCT($C$66:$C$69,--(E66:E69&lt;&gt;""))=0,"",SUMPRODUCT($C$66:$C$69,E66:E69)/SUMPRODUCT($C$66:$C$69,--(E66:E69&lt;&gt;""))*$C131))</f>
        <v/>
      </c>
      <c r="F131">
        <f>IF(F$5&lt;&gt;1,"",IF(SUMPRODUCT($C$66:$C$69,--(F66:F69&lt;&gt;""))=0,"",SUMPRODUCT($C$66:$C$69,F66:F69)/SUMPRODUCT($C$66:$C$69,--(F66:F69&lt;&gt;""))*$C131))</f>
        <v/>
      </c>
      <c r="G131">
        <f>IF(G$5&lt;&gt;1,"",IF(SUMPRODUCT($C$66:$C$69,--(G66:G69&lt;&gt;""))=0,"",SUMPRODUCT($C$66:$C$69,G66:G69)/SUMPRODUCT($C$66:$C$69,--(G66:G69&lt;&gt;""))*$C131))</f>
        <v/>
      </c>
      <c r="H131">
        <f>IF(H$5&lt;&gt;1,"",IF(SUMPRODUCT($C$66:$C$69,--(H66:H69&lt;&gt;""))=0,"",SUMPRODUCT($C$66:$C$69,H66:H69)/SUMPRODUCT($C$66:$C$69,--(H66:H69&lt;&gt;""))*$C131))</f>
        <v/>
      </c>
      <c r="I131">
        <f>IF(I$5&lt;&gt;1,"",IF(SUMPRODUCT($C$66:$C$69,--(I66:I69&lt;&gt;""))=0,"",SUMPRODUCT($C$66:$C$69,I66:I69)/SUMPRODUCT($C$66:$C$69,--(I66:I69&lt;&gt;""))*$C131))</f>
        <v/>
      </c>
      <c r="J131">
        <f>IF(J$5&lt;&gt;1,"",IF(SUMPRODUCT($C$66:$C$69,--(J66:J69&lt;&gt;""))=0,"",SUMPRODUCT($C$66:$C$69,J66:J69)/SUMPRODUCT($C$66:$C$69,--(J66:J69&lt;&gt;""))*$C131))</f>
        <v/>
      </c>
      <c r="K131">
        <f>IF(K$5&lt;&gt;1,"",IF(SUMPRODUCT($C$66:$C$69,--(K66:K69&lt;&gt;""))=0,"",SUMPRODUCT($C$66:$C$69,K66:K69)/SUMPRODUCT($C$66:$C$69,--(K66:K69&lt;&gt;""))*$C131))</f>
        <v/>
      </c>
      <c r="L131">
        <f>IF(L$5&lt;&gt;1,"",IF(SUMPRODUCT($C$66:$C$69,--(L66:L69&lt;&gt;""))=0,"",SUMPRODUCT($C$66:$C$69,L66:L69)/SUMPRODUCT($C$66:$C$69,--(L66:L69&lt;&gt;""))*$C131))</f>
        <v/>
      </c>
      <c r="M131">
        <f>IF(M$5&lt;&gt;1,"",IF(SUMPRODUCT($C$66:$C$69,--(M66:M69&lt;&gt;""))=0,"",SUMPRODUCT($C$66:$C$69,M66:M69)/SUMPRODUCT($C$66:$C$69,--(M66:M69&lt;&gt;""))*$C131))</f>
        <v/>
      </c>
      <c r="N131">
        <f>IF(N$5&lt;&gt;1,"",IF(SUMPRODUCT($C$66:$C$69,--(N66:N69&lt;&gt;""))=0,"",SUMPRODUCT($C$66:$C$69,N66:N69)/SUMPRODUCT($C$66:$C$69,--(N66:N69&lt;&gt;""))*$C131))</f>
        <v/>
      </c>
      <c r="O131">
        <f>IF(O$5&lt;&gt;1,"",IF(SUMPRODUCT($C$66:$C$69,--(O66:O69&lt;&gt;""))=0,"",SUMPRODUCT($C$66:$C$69,O66:O69)/SUMPRODUCT($C$66:$C$69,--(O66:O69&lt;&gt;""))*$C131))</f>
        <v/>
      </c>
      <c r="P131">
        <f>IF(P$5&lt;&gt;1,"",IF(SUMPRODUCT($C$66:$C$69,--(P66:P69&lt;&gt;""))=0,"",SUMPRODUCT($C$66:$C$69,P66:P69)/SUMPRODUCT($C$66:$C$69,--(P66:P69&lt;&gt;""))*$C131))</f>
        <v/>
      </c>
      <c r="Q131">
        <f>IF(Q$5&lt;&gt;1,"",IF(SUMPRODUCT($C$66:$C$69,--(Q66:Q69&lt;&gt;""))=0,"",SUMPRODUCT($C$66:$C$69,Q66:Q69)/SUMPRODUCT($C$66:$C$69,--(Q66:Q69&lt;&gt;""))*$C131))</f>
        <v/>
      </c>
      <c r="R131">
        <f>IF(R$5&lt;&gt;1,"",IF(SUMPRODUCT($C$66:$C$69,--(R66:R69&lt;&gt;""))=0,"",SUMPRODUCT($C$66:$C$69,R66:R69)/SUMPRODUCT($C$66:$C$69,--(R66:R69&lt;&gt;""))*$C131))</f>
        <v/>
      </c>
      <c r="S131">
        <f>IF(S$5&lt;&gt;1,"",IF(SUMPRODUCT($C$66:$C$69,--(S66:S69&lt;&gt;""))=0,"",SUMPRODUCT($C$66:$C$69,S66:S69)/SUMPRODUCT($C$66:$C$69,--(S66:S69&lt;&gt;""))*$C131))</f>
        <v/>
      </c>
      <c r="T131">
        <f>IF(T$5&lt;&gt;1,"",IF(SUMPRODUCT($C$66:$C$69,--(T66:T69&lt;&gt;""))=0,"",SUMPRODUCT($C$66:$C$69,T66:T69)/SUMPRODUCT($C$66:$C$69,--(T66:T69&lt;&gt;""))*$C131))</f>
        <v/>
      </c>
      <c r="U131">
        <f>IF(U$5&lt;&gt;1,"",IF(SUMPRODUCT($C$66:$C$69,--(U66:U69&lt;&gt;""))=0,"",SUMPRODUCT($C$66:$C$69,U66:U69)/SUMPRODUCT($C$66:$C$69,--(U66:U69&lt;&gt;""))*$C131))</f>
        <v/>
      </c>
      <c r="V131">
        <f>IF(V$5&lt;&gt;1,"",IF(SUMPRODUCT($C$66:$C$69,--(V66:V69&lt;&gt;""))=0,"",SUMPRODUCT($C$66:$C$69,V66:V69)/SUMPRODUCT($C$66:$C$69,--(V66:V69&lt;&gt;""))*$C131))</f>
        <v/>
      </c>
      <c r="W131">
        <f>IF(W$5&lt;&gt;1,"",IF(SUMPRODUCT($C$66:$C$69,--(W66:W69&lt;&gt;""))=0,"",SUMPRODUCT($C$66:$C$69,W66:W69)/SUMPRODUCT($C$66:$C$69,--(W66:W69&lt;&gt;""))*$C131))</f>
        <v/>
      </c>
      <c r="X131">
        <f>IF(X$5&lt;&gt;1,"",IF(SUMPRODUCT($C$66:$C$69,--(X66:X69&lt;&gt;""))=0,"",SUMPRODUCT($C$66:$C$69,X66:X69)/SUMPRODUCT($C$66:$C$69,--(X66:X69&lt;&gt;""))*$C131))</f>
        <v/>
      </c>
      <c r="Y131">
        <f>IF(Y$5&lt;&gt;1,"",IF(SUMPRODUCT($C$66:$C$69,--(Y66:Y69&lt;&gt;""))=0,"",SUMPRODUCT($C$66:$C$69,Y66:Y69)/SUMPRODUCT($C$66:$C$69,--(Y66:Y69&lt;&gt;""))*$C131))</f>
        <v/>
      </c>
      <c r="Z131">
        <f>IF(Z$5&lt;&gt;1,"",IF(SUMPRODUCT($C$66:$C$69,--(Z66:Z69&lt;&gt;""))=0,"",SUMPRODUCT($C$66:$C$69,Z66:Z69)/SUMPRODUCT($C$66:$C$69,--(Z66:Z69&lt;&gt;""))*$C131))</f>
        <v/>
      </c>
      <c r="AA131">
        <f>IF(AA$5&lt;&gt;1,"",IF(SUMPRODUCT($C$66:$C$69,--(AA66:AA69&lt;&gt;""))=0,"",SUMPRODUCT($C$66:$C$69,AA66:AA69)/SUMPRODUCT($C$66:$C$69,--(AA66:AA69&lt;&gt;""))*$C131))</f>
        <v/>
      </c>
      <c r="AB131">
        <f>IF(AB$5&lt;&gt;1,"",IF(SUMPRODUCT($C$66:$C$69,--(AB66:AB69&lt;&gt;""))=0,"",SUMPRODUCT($C$66:$C$69,AB66:AB69)/SUMPRODUCT($C$66:$C$69,--(AB66:AB69&lt;&gt;""))*$C131))</f>
        <v/>
      </c>
      <c r="AC131">
        <f>IF(AC$5&lt;&gt;1,"",IF(SUMPRODUCT($C$66:$C$69,--(AC66:AC69&lt;&gt;""))=0,"",SUMPRODUCT($C$66:$C$69,AC66:AC69)/SUMPRODUCT($C$66:$C$69,--(AC66:AC69&lt;&gt;""))*$C131))</f>
        <v/>
      </c>
      <c r="AD131">
        <f>IF(AD$5&lt;&gt;1,"",IF(SUMPRODUCT($C$66:$C$69,--(AD66:AD69&lt;&gt;""))=0,"",SUMPRODUCT($C$66:$C$69,AD66:AD69)/SUMPRODUCT($C$66:$C$69,--(AD66:AD69&lt;&gt;""))*$C131))</f>
        <v/>
      </c>
      <c r="AE131">
        <f>IF(AE$5&lt;&gt;1,"",IF(SUMPRODUCT($C$66:$C$69,--(AE66:AE69&lt;&gt;""))=0,"",SUMPRODUCT($C$66:$C$69,AE66:AE69)/SUMPRODUCT($C$66:$C$69,--(AE66:AE69&lt;&gt;""))*$C131))</f>
        <v/>
      </c>
      <c r="AF131">
        <f>IF(AF$5&lt;&gt;1,"",IF(SUMPRODUCT($C$66:$C$69,--(AF66:AF69&lt;&gt;""))=0,"",SUMPRODUCT($C$66:$C$69,AF66:AF69)/SUMPRODUCT($C$66:$C$69,--(AF66:AF69&lt;&gt;""))*$C131))</f>
        <v/>
      </c>
      <c r="AG131">
        <f>IF(AG$5&lt;&gt;1,"",IF(SUMPRODUCT($C$66:$C$69,--(AG66:AG69&lt;&gt;""))=0,"",SUMPRODUCT($C$66:$C$69,AG66:AG69)/SUMPRODUCT($C$66:$C$69,--(AG66:AG69&lt;&gt;""))*$C131))</f>
        <v/>
      </c>
      <c r="AH131">
        <f>IF(AH$5&lt;&gt;1,"",IF(SUMPRODUCT($C$66:$C$69,--(AH66:AH69&lt;&gt;""))=0,"",SUMPRODUCT($C$66:$C$69,AH66:AH69)/SUMPRODUCT($C$66:$C$69,--(AH66:AH69&lt;&gt;""))*$C131))</f>
        <v/>
      </c>
      <c r="AI131">
        <f>IF(AI$5&lt;&gt;1,"",IF(SUMPRODUCT($C$66:$C$69,--(AI66:AI69&lt;&gt;""))=0,"",SUMPRODUCT($C$66:$C$69,AI66:AI69)/SUMPRODUCT($C$66:$C$69,--(AI66:AI69&lt;&gt;""))*$C131))</f>
        <v/>
      </c>
      <c r="AJ131">
        <f>IF(AJ$5&lt;&gt;1,"",IF(SUMPRODUCT($C$66:$C$69,--(AJ66:AJ69&lt;&gt;""))=0,"",SUMPRODUCT($C$66:$C$69,AJ66:AJ69)/SUMPRODUCT($C$66:$C$69,--(AJ66:AJ69&lt;&gt;""))*$C131))</f>
        <v/>
      </c>
      <c r="AK131">
        <f>IF(AK$5&lt;&gt;1,"",IF(SUMPRODUCT($C$66:$C$69,--(AK66:AK69&lt;&gt;""))=0,"",SUMPRODUCT($C$66:$C$69,AK66:AK69)/SUMPRODUCT($C$66:$C$69,--(AK66:AK69&lt;&gt;""))*$C131))</f>
        <v/>
      </c>
      <c r="AL131">
        <f>IF(AL$5&lt;&gt;1,"",IF(SUMPRODUCT($C$66:$C$69,--(AL66:AL69&lt;&gt;""))=0,"",SUMPRODUCT($C$66:$C$69,AL66:AL69)/SUMPRODUCT($C$66:$C$69,--(AL66:AL69&lt;&gt;""))*$C131))</f>
        <v/>
      </c>
      <c r="AM131">
        <f>IF(AM$5&lt;&gt;1,"",IF(SUMPRODUCT($C$66:$C$69,--(AM66:AM69&lt;&gt;""))=0,"",SUMPRODUCT($C$66:$C$69,AM66:AM69)/SUMPRODUCT($C$66:$C$69,--(AM66:AM69&lt;&gt;""))*$C131))</f>
        <v/>
      </c>
      <c r="AN131">
        <f>IF(AN$5&lt;&gt;1,"",IF(SUMPRODUCT($C$66:$C$69,--(AN66:AN69&lt;&gt;""))=0,"",SUMPRODUCT($C$66:$C$69,AN66:AN69)/SUMPRODUCT($C$66:$C$69,--(AN66:AN69&lt;&gt;""))*$C131))</f>
        <v/>
      </c>
      <c r="AO131">
        <f>IF(AO$5&lt;&gt;1,"",IF(SUMPRODUCT($C$66:$C$69,--(AO66:AO69&lt;&gt;""))=0,"",SUMPRODUCT($C$66:$C$69,AO66:AO69)/SUMPRODUCT($C$66:$C$69,--(AO66:AO69&lt;&gt;""))*$C131))</f>
        <v/>
      </c>
      <c r="AP131">
        <f>IF(AP$5&lt;&gt;1,"",IF(SUMPRODUCT($C$66:$C$69,--(AP66:AP69&lt;&gt;""))=0,"",SUMPRODUCT($C$66:$C$69,AP66:AP69)/SUMPRODUCT($C$66:$C$69,--(AP66:AP69&lt;&gt;""))*$C131))</f>
        <v/>
      </c>
      <c r="AQ131">
        <f>IF(AQ$5&lt;&gt;1,"",IF(SUMPRODUCT($C$66:$C$69,--(AQ66:AQ69&lt;&gt;""))=0,"",SUMPRODUCT($C$66:$C$69,AQ66:AQ69)/SUMPRODUCT($C$66:$C$69,--(AQ66:AQ69&lt;&gt;""))*$C131))</f>
        <v/>
      </c>
      <c r="AR131">
        <f>IF(AR$5&lt;&gt;1,"",IF(SUMPRODUCT($C$66:$C$69,--(AR66:AR69&lt;&gt;""))=0,"",SUMPRODUCT($C$66:$C$69,AR66:AR69)/SUMPRODUCT($C$66:$C$69,--(AR66:AR69&lt;&gt;""))*$C131))</f>
        <v/>
      </c>
      <c r="AS131">
        <f>IF(AS$5&lt;&gt;1,"",IF(SUMPRODUCT($C$66:$C$69,--(AS66:AS69&lt;&gt;""))=0,"",SUMPRODUCT($C$66:$C$69,AS66:AS69)/SUMPRODUCT($C$66:$C$69,--(AS66:AS69&lt;&gt;""))*$C131))</f>
        <v/>
      </c>
      <c r="AT131">
        <f>IF(AT$5&lt;&gt;1,"",IF(SUMPRODUCT($C$66:$C$69,--(AT66:AT69&lt;&gt;""))=0,"",SUMPRODUCT($C$66:$C$69,AT66:AT69)/SUMPRODUCT($C$66:$C$69,--(AT66:AT69&lt;&gt;""))*$C131))</f>
        <v/>
      </c>
      <c r="AU131">
        <f>IF(AU$5&lt;&gt;1,"",IF(SUMPRODUCT($C$66:$C$69,--(AU66:AU69&lt;&gt;""))=0,"",SUMPRODUCT($C$66:$C$69,AU66:AU69)/SUMPRODUCT($C$66:$C$69,--(AU66:AU69&lt;&gt;""))*$C131))</f>
        <v/>
      </c>
      <c r="AV131">
        <f>IF(AV$5&lt;&gt;1,"",IF(SUMPRODUCT($C$66:$C$69,--(AV66:AV69&lt;&gt;""))=0,"",SUMPRODUCT($C$66:$C$69,AV66:AV69)/SUMPRODUCT($C$66:$C$69,--(AV66:AV69&lt;&gt;""))*$C131))</f>
        <v/>
      </c>
      <c r="AW131">
        <f>IF(AW$5&lt;&gt;1,"",IF(SUMPRODUCT($C$66:$C$69,--(AW66:AW69&lt;&gt;""))=0,"",SUMPRODUCT($C$66:$C$69,AW66:AW69)/SUMPRODUCT($C$66:$C$69,--(AW66:AW69&lt;&gt;""))*$C131))</f>
        <v/>
      </c>
      <c r="AX131">
        <f>IF(AX$5&lt;&gt;1,"",IF(SUMPRODUCT($C$66:$C$69,--(AX66:AX69&lt;&gt;""))=0,"",SUMPRODUCT($C$66:$C$69,AX66:AX69)/SUMPRODUCT($C$66:$C$69,--(AX66:AX69&lt;&gt;""))*$C131))</f>
        <v/>
      </c>
      <c r="AY131">
        <f>IF(AY$5&lt;&gt;1,"",IF(SUMPRODUCT($C$66:$C$69,--(AY66:AY69&lt;&gt;""))=0,"",SUMPRODUCT($C$66:$C$69,AY66:AY69)/SUMPRODUCT($C$66:$C$69,--(AY66:AY69&lt;&gt;""))*$C131))</f>
        <v/>
      </c>
      <c r="AZ131">
        <f>IF(AZ$5&lt;&gt;1,"",IF(SUMPRODUCT($C$66:$C$69,--(AZ66:AZ69&lt;&gt;""))=0,"",SUMPRODUCT($C$66:$C$69,AZ66:AZ69)/SUMPRODUCT($C$66:$C$69,--(AZ66:AZ69&lt;&gt;""))*$C131))</f>
        <v/>
      </c>
      <c r="BA131">
        <f>IF(BA$5&lt;&gt;1,"",IF(SUMPRODUCT($C$66:$C$69,--(BA66:BA69&lt;&gt;""))=0,"",SUMPRODUCT($C$66:$C$69,BA66:BA69)/SUMPRODUCT($C$66:$C$69,--(BA66:BA69&lt;&gt;""))*$C131))</f>
        <v/>
      </c>
      <c r="BB131">
        <f>IF(BB$5&lt;&gt;1,"",IF(SUMPRODUCT($C$66:$C$69,--(BB66:BB69&lt;&gt;""))=0,"",SUMPRODUCT($C$66:$C$69,BB66:BB69)/SUMPRODUCT($C$66:$C$69,--(BB66:BB69&lt;&gt;""))*$C131))</f>
        <v/>
      </c>
    </row>
    <row r="132">
      <c r="A132" s="16" t="inlineStr">
        <is>
          <t>P5</t>
        </is>
      </c>
      <c r="B132" s="16" t="inlineStr">
        <is>
          <t>정보공유·의사소통</t>
        </is>
      </c>
      <c r="C132" s="41">
        <f>SUM($C$70:$C$78)</f>
        <v/>
      </c>
      <c r="E132">
        <f>IF(E$5&lt;&gt;1,"",IF(SUMPRODUCT($C$70:$C$78,--(E70:E78&lt;&gt;""))=0,"",SUMPRODUCT($C$70:$C$78,E70:E78)/SUMPRODUCT($C$70:$C$78,--(E70:E78&lt;&gt;""))*$C132))</f>
        <v/>
      </c>
      <c r="F132">
        <f>IF(F$5&lt;&gt;1,"",IF(SUMPRODUCT($C$70:$C$78,--(F70:F78&lt;&gt;""))=0,"",SUMPRODUCT($C$70:$C$78,F70:F78)/SUMPRODUCT($C$70:$C$78,--(F70:F78&lt;&gt;""))*$C132))</f>
        <v/>
      </c>
      <c r="G132">
        <f>IF(G$5&lt;&gt;1,"",IF(SUMPRODUCT($C$70:$C$78,--(G70:G78&lt;&gt;""))=0,"",SUMPRODUCT($C$70:$C$78,G70:G78)/SUMPRODUCT($C$70:$C$78,--(G70:G78&lt;&gt;""))*$C132))</f>
        <v/>
      </c>
      <c r="H132">
        <f>IF(H$5&lt;&gt;1,"",IF(SUMPRODUCT($C$70:$C$78,--(H70:H78&lt;&gt;""))=0,"",SUMPRODUCT($C$70:$C$78,H70:H78)/SUMPRODUCT($C$70:$C$78,--(H70:H78&lt;&gt;""))*$C132))</f>
        <v/>
      </c>
      <c r="I132">
        <f>IF(I$5&lt;&gt;1,"",IF(SUMPRODUCT($C$70:$C$78,--(I70:I78&lt;&gt;""))=0,"",SUMPRODUCT($C$70:$C$78,I70:I78)/SUMPRODUCT($C$70:$C$78,--(I70:I78&lt;&gt;""))*$C132))</f>
        <v/>
      </c>
      <c r="J132">
        <f>IF(J$5&lt;&gt;1,"",IF(SUMPRODUCT($C$70:$C$78,--(J70:J78&lt;&gt;""))=0,"",SUMPRODUCT($C$70:$C$78,J70:J78)/SUMPRODUCT($C$70:$C$78,--(J70:J78&lt;&gt;""))*$C132))</f>
        <v/>
      </c>
      <c r="K132">
        <f>IF(K$5&lt;&gt;1,"",IF(SUMPRODUCT($C$70:$C$78,--(K70:K78&lt;&gt;""))=0,"",SUMPRODUCT($C$70:$C$78,K70:K78)/SUMPRODUCT($C$70:$C$78,--(K70:K78&lt;&gt;""))*$C132))</f>
        <v/>
      </c>
      <c r="L132">
        <f>IF(L$5&lt;&gt;1,"",IF(SUMPRODUCT($C$70:$C$78,--(L70:L78&lt;&gt;""))=0,"",SUMPRODUCT($C$70:$C$78,L70:L78)/SUMPRODUCT($C$70:$C$78,--(L70:L78&lt;&gt;""))*$C132))</f>
        <v/>
      </c>
      <c r="M132">
        <f>IF(M$5&lt;&gt;1,"",IF(SUMPRODUCT($C$70:$C$78,--(M70:M78&lt;&gt;""))=0,"",SUMPRODUCT($C$70:$C$78,M70:M78)/SUMPRODUCT($C$70:$C$78,--(M70:M78&lt;&gt;""))*$C132))</f>
        <v/>
      </c>
      <c r="N132">
        <f>IF(N$5&lt;&gt;1,"",IF(SUMPRODUCT($C$70:$C$78,--(N70:N78&lt;&gt;""))=0,"",SUMPRODUCT($C$70:$C$78,N70:N78)/SUMPRODUCT($C$70:$C$78,--(N70:N78&lt;&gt;""))*$C132))</f>
        <v/>
      </c>
      <c r="O132">
        <f>IF(O$5&lt;&gt;1,"",IF(SUMPRODUCT($C$70:$C$78,--(O70:O78&lt;&gt;""))=0,"",SUMPRODUCT($C$70:$C$78,O70:O78)/SUMPRODUCT($C$70:$C$78,--(O70:O78&lt;&gt;""))*$C132))</f>
        <v/>
      </c>
      <c r="P132">
        <f>IF(P$5&lt;&gt;1,"",IF(SUMPRODUCT($C$70:$C$78,--(P70:P78&lt;&gt;""))=0,"",SUMPRODUCT($C$70:$C$78,P70:P78)/SUMPRODUCT($C$70:$C$78,--(P70:P78&lt;&gt;""))*$C132))</f>
        <v/>
      </c>
      <c r="Q132">
        <f>IF(Q$5&lt;&gt;1,"",IF(SUMPRODUCT($C$70:$C$78,--(Q70:Q78&lt;&gt;""))=0,"",SUMPRODUCT($C$70:$C$78,Q70:Q78)/SUMPRODUCT($C$70:$C$78,--(Q70:Q78&lt;&gt;""))*$C132))</f>
        <v/>
      </c>
      <c r="R132">
        <f>IF(R$5&lt;&gt;1,"",IF(SUMPRODUCT($C$70:$C$78,--(R70:R78&lt;&gt;""))=0,"",SUMPRODUCT($C$70:$C$78,R70:R78)/SUMPRODUCT($C$70:$C$78,--(R70:R78&lt;&gt;""))*$C132))</f>
        <v/>
      </c>
      <c r="S132">
        <f>IF(S$5&lt;&gt;1,"",IF(SUMPRODUCT($C$70:$C$78,--(S70:S78&lt;&gt;""))=0,"",SUMPRODUCT($C$70:$C$78,S70:S78)/SUMPRODUCT($C$70:$C$78,--(S70:S78&lt;&gt;""))*$C132))</f>
        <v/>
      </c>
      <c r="T132">
        <f>IF(T$5&lt;&gt;1,"",IF(SUMPRODUCT($C$70:$C$78,--(T70:T78&lt;&gt;""))=0,"",SUMPRODUCT($C$70:$C$78,T70:T78)/SUMPRODUCT($C$70:$C$78,--(T70:T78&lt;&gt;""))*$C132))</f>
        <v/>
      </c>
      <c r="U132">
        <f>IF(U$5&lt;&gt;1,"",IF(SUMPRODUCT($C$70:$C$78,--(U70:U78&lt;&gt;""))=0,"",SUMPRODUCT($C$70:$C$78,U70:U78)/SUMPRODUCT($C$70:$C$78,--(U70:U78&lt;&gt;""))*$C132))</f>
        <v/>
      </c>
      <c r="V132">
        <f>IF(V$5&lt;&gt;1,"",IF(SUMPRODUCT($C$70:$C$78,--(V70:V78&lt;&gt;""))=0,"",SUMPRODUCT($C$70:$C$78,V70:V78)/SUMPRODUCT($C$70:$C$78,--(V70:V78&lt;&gt;""))*$C132))</f>
        <v/>
      </c>
      <c r="W132">
        <f>IF(W$5&lt;&gt;1,"",IF(SUMPRODUCT($C$70:$C$78,--(W70:W78&lt;&gt;""))=0,"",SUMPRODUCT($C$70:$C$78,W70:W78)/SUMPRODUCT($C$70:$C$78,--(W70:W78&lt;&gt;""))*$C132))</f>
        <v/>
      </c>
      <c r="X132">
        <f>IF(X$5&lt;&gt;1,"",IF(SUMPRODUCT($C$70:$C$78,--(X70:X78&lt;&gt;""))=0,"",SUMPRODUCT($C$70:$C$78,X70:X78)/SUMPRODUCT($C$70:$C$78,--(X70:X78&lt;&gt;""))*$C132))</f>
        <v/>
      </c>
      <c r="Y132">
        <f>IF(Y$5&lt;&gt;1,"",IF(SUMPRODUCT($C$70:$C$78,--(Y70:Y78&lt;&gt;""))=0,"",SUMPRODUCT($C$70:$C$78,Y70:Y78)/SUMPRODUCT($C$70:$C$78,--(Y70:Y78&lt;&gt;""))*$C132))</f>
        <v/>
      </c>
      <c r="Z132">
        <f>IF(Z$5&lt;&gt;1,"",IF(SUMPRODUCT($C$70:$C$78,--(Z70:Z78&lt;&gt;""))=0,"",SUMPRODUCT($C$70:$C$78,Z70:Z78)/SUMPRODUCT($C$70:$C$78,--(Z70:Z78&lt;&gt;""))*$C132))</f>
        <v/>
      </c>
      <c r="AA132">
        <f>IF(AA$5&lt;&gt;1,"",IF(SUMPRODUCT($C$70:$C$78,--(AA70:AA78&lt;&gt;""))=0,"",SUMPRODUCT($C$70:$C$78,AA70:AA78)/SUMPRODUCT($C$70:$C$78,--(AA70:AA78&lt;&gt;""))*$C132))</f>
        <v/>
      </c>
      <c r="AB132">
        <f>IF(AB$5&lt;&gt;1,"",IF(SUMPRODUCT($C$70:$C$78,--(AB70:AB78&lt;&gt;""))=0,"",SUMPRODUCT($C$70:$C$78,AB70:AB78)/SUMPRODUCT($C$70:$C$78,--(AB70:AB78&lt;&gt;""))*$C132))</f>
        <v/>
      </c>
      <c r="AC132">
        <f>IF(AC$5&lt;&gt;1,"",IF(SUMPRODUCT($C$70:$C$78,--(AC70:AC78&lt;&gt;""))=0,"",SUMPRODUCT($C$70:$C$78,AC70:AC78)/SUMPRODUCT($C$70:$C$78,--(AC70:AC78&lt;&gt;""))*$C132))</f>
        <v/>
      </c>
      <c r="AD132">
        <f>IF(AD$5&lt;&gt;1,"",IF(SUMPRODUCT($C$70:$C$78,--(AD70:AD78&lt;&gt;""))=0,"",SUMPRODUCT($C$70:$C$78,AD70:AD78)/SUMPRODUCT($C$70:$C$78,--(AD70:AD78&lt;&gt;""))*$C132))</f>
        <v/>
      </c>
      <c r="AE132">
        <f>IF(AE$5&lt;&gt;1,"",IF(SUMPRODUCT($C$70:$C$78,--(AE70:AE78&lt;&gt;""))=0,"",SUMPRODUCT($C$70:$C$78,AE70:AE78)/SUMPRODUCT($C$70:$C$78,--(AE70:AE78&lt;&gt;""))*$C132))</f>
        <v/>
      </c>
      <c r="AF132">
        <f>IF(AF$5&lt;&gt;1,"",IF(SUMPRODUCT($C$70:$C$78,--(AF70:AF78&lt;&gt;""))=0,"",SUMPRODUCT($C$70:$C$78,AF70:AF78)/SUMPRODUCT($C$70:$C$78,--(AF70:AF78&lt;&gt;""))*$C132))</f>
        <v/>
      </c>
      <c r="AG132">
        <f>IF(AG$5&lt;&gt;1,"",IF(SUMPRODUCT($C$70:$C$78,--(AG70:AG78&lt;&gt;""))=0,"",SUMPRODUCT($C$70:$C$78,AG70:AG78)/SUMPRODUCT($C$70:$C$78,--(AG70:AG78&lt;&gt;""))*$C132))</f>
        <v/>
      </c>
      <c r="AH132">
        <f>IF(AH$5&lt;&gt;1,"",IF(SUMPRODUCT($C$70:$C$78,--(AH70:AH78&lt;&gt;""))=0,"",SUMPRODUCT($C$70:$C$78,AH70:AH78)/SUMPRODUCT($C$70:$C$78,--(AH70:AH78&lt;&gt;""))*$C132))</f>
        <v/>
      </c>
      <c r="AI132">
        <f>IF(AI$5&lt;&gt;1,"",IF(SUMPRODUCT($C$70:$C$78,--(AI70:AI78&lt;&gt;""))=0,"",SUMPRODUCT($C$70:$C$78,AI70:AI78)/SUMPRODUCT($C$70:$C$78,--(AI70:AI78&lt;&gt;""))*$C132))</f>
        <v/>
      </c>
      <c r="AJ132">
        <f>IF(AJ$5&lt;&gt;1,"",IF(SUMPRODUCT($C$70:$C$78,--(AJ70:AJ78&lt;&gt;""))=0,"",SUMPRODUCT($C$70:$C$78,AJ70:AJ78)/SUMPRODUCT($C$70:$C$78,--(AJ70:AJ78&lt;&gt;""))*$C132))</f>
        <v/>
      </c>
      <c r="AK132">
        <f>IF(AK$5&lt;&gt;1,"",IF(SUMPRODUCT($C$70:$C$78,--(AK70:AK78&lt;&gt;""))=0,"",SUMPRODUCT($C$70:$C$78,AK70:AK78)/SUMPRODUCT($C$70:$C$78,--(AK70:AK78&lt;&gt;""))*$C132))</f>
        <v/>
      </c>
      <c r="AL132">
        <f>IF(AL$5&lt;&gt;1,"",IF(SUMPRODUCT($C$70:$C$78,--(AL70:AL78&lt;&gt;""))=0,"",SUMPRODUCT($C$70:$C$78,AL70:AL78)/SUMPRODUCT($C$70:$C$78,--(AL70:AL78&lt;&gt;""))*$C132))</f>
        <v/>
      </c>
      <c r="AM132">
        <f>IF(AM$5&lt;&gt;1,"",IF(SUMPRODUCT($C$70:$C$78,--(AM70:AM78&lt;&gt;""))=0,"",SUMPRODUCT($C$70:$C$78,AM70:AM78)/SUMPRODUCT($C$70:$C$78,--(AM70:AM78&lt;&gt;""))*$C132))</f>
        <v/>
      </c>
      <c r="AN132">
        <f>IF(AN$5&lt;&gt;1,"",IF(SUMPRODUCT($C$70:$C$78,--(AN70:AN78&lt;&gt;""))=0,"",SUMPRODUCT($C$70:$C$78,AN70:AN78)/SUMPRODUCT($C$70:$C$78,--(AN70:AN78&lt;&gt;""))*$C132))</f>
        <v/>
      </c>
      <c r="AO132">
        <f>IF(AO$5&lt;&gt;1,"",IF(SUMPRODUCT($C$70:$C$78,--(AO70:AO78&lt;&gt;""))=0,"",SUMPRODUCT($C$70:$C$78,AO70:AO78)/SUMPRODUCT($C$70:$C$78,--(AO70:AO78&lt;&gt;""))*$C132))</f>
        <v/>
      </c>
      <c r="AP132">
        <f>IF(AP$5&lt;&gt;1,"",IF(SUMPRODUCT($C$70:$C$78,--(AP70:AP78&lt;&gt;""))=0,"",SUMPRODUCT($C$70:$C$78,AP70:AP78)/SUMPRODUCT($C$70:$C$78,--(AP70:AP78&lt;&gt;""))*$C132))</f>
        <v/>
      </c>
      <c r="AQ132">
        <f>IF(AQ$5&lt;&gt;1,"",IF(SUMPRODUCT($C$70:$C$78,--(AQ70:AQ78&lt;&gt;""))=0,"",SUMPRODUCT($C$70:$C$78,AQ70:AQ78)/SUMPRODUCT($C$70:$C$78,--(AQ70:AQ78&lt;&gt;""))*$C132))</f>
        <v/>
      </c>
      <c r="AR132">
        <f>IF(AR$5&lt;&gt;1,"",IF(SUMPRODUCT($C$70:$C$78,--(AR70:AR78&lt;&gt;""))=0,"",SUMPRODUCT($C$70:$C$78,AR70:AR78)/SUMPRODUCT($C$70:$C$78,--(AR70:AR78&lt;&gt;""))*$C132))</f>
        <v/>
      </c>
      <c r="AS132">
        <f>IF(AS$5&lt;&gt;1,"",IF(SUMPRODUCT($C$70:$C$78,--(AS70:AS78&lt;&gt;""))=0,"",SUMPRODUCT($C$70:$C$78,AS70:AS78)/SUMPRODUCT($C$70:$C$78,--(AS70:AS78&lt;&gt;""))*$C132))</f>
        <v/>
      </c>
      <c r="AT132">
        <f>IF(AT$5&lt;&gt;1,"",IF(SUMPRODUCT($C$70:$C$78,--(AT70:AT78&lt;&gt;""))=0,"",SUMPRODUCT($C$70:$C$78,AT70:AT78)/SUMPRODUCT($C$70:$C$78,--(AT70:AT78&lt;&gt;""))*$C132))</f>
        <v/>
      </c>
      <c r="AU132">
        <f>IF(AU$5&lt;&gt;1,"",IF(SUMPRODUCT($C$70:$C$78,--(AU70:AU78&lt;&gt;""))=0,"",SUMPRODUCT($C$70:$C$78,AU70:AU78)/SUMPRODUCT($C$70:$C$78,--(AU70:AU78&lt;&gt;""))*$C132))</f>
        <v/>
      </c>
      <c r="AV132">
        <f>IF(AV$5&lt;&gt;1,"",IF(SUMPRODUCT($C$70:$C$78,--(AV70:AV78&lt;&gt;""))=0,"",SUMPRODUCT($C$70:$C$78,AV70:AV78)/SUMPRODUCT($C$70:$C$78,--(AV70:AV78&lt;&gt;""))*$C132))</f>
        <v/>
      </c>
      <c r="AW132">
        <f>IF(AW$5&lt;&gt;1,"",IF(SUMPRODUCT($C$70:$C$78,--(AW70:AW78&lt;&gt;""))=0,"",SUMPRODUCT($C$70:$C$78,AW70:AW78)/SUMPRODUCT($C$70:$C$78,--(AW70:AW78&lt;&gt;""))*$C132))</f>
        <v/>
      </c>
      <c r="AX132">
        <f>IF(AX$5&lt;&gt;1,"",IF(SUMPRODUCT($C$70:$C$78,--(AX70:AX78&lt;&gt;""))=0,"",SUMPRODUCT($C$70:$C$78,AX70:AX78)/SUMPRODUCT($C$70:$C$78,--(AX70:AX78&lt;&gt;""))*$C132))</f>
        <v/>
      </c>
      <c r="AY132">
        <f>IF(AY$5&lt;&gt;1,"",IF(SUMPRODUCT($C$70:$C$78,--(AY70:AY78&lt;&gt;""))=0,"",SUMPRODUCT($C$70:$C$78,AY70:AY78)/SUMPRODUCT($C$70:$C$78,--(AY70:AY78&lt;&gt;""))*$C132))</f>
        <v/>
      </c>
      <c r="AZ132">
        <f>IF(AZ$5&lt;&gt;1,"",IF(SUMPRODUCT($C$70:$C$78,--(AZ70:AZ78&lt;&gt;""))=0,"",SUMPRODUCT($C$70:$C$78,AZ70:AZ78)/SUMPRODUCT($C$70:$C$78,--(AZ70:AZ78&lt;&gt;""))*$C132))</f>
        <v/>
      </c>
      <c r="BA132">
        <f>IF(BA$5&lt;&gt;1,"",IF(SUMPRODUCT($C$70:$C$78,--(BA70:BA78&lt;&gt;""))=0,"",SUMPRODUCT($C$70:$C$78,BA70:BA78)/SUMPRODUCT($C$70:$C$78,--(BA70:BA78&lt;&gt;""))*$C132))</f>
        <v/>
      </c>
      <c r="BB132">
        <f>IF(BB$5&lt;&gt;1,"",IF(SUMPRODUCT($C$70:$C$78,--(BB70:BB78&lt;&gt;""))=0,"",SUMPRODUCT($C$70:$C$78,BB70:BB78)/SUMPRODUCT($C$70:$C$78,--(BB70:BB78&lt;&gt;""))*$C132))</f>
        <v/>
      </c>
    </row>
    <row r="133">
      <c r="A133" s="16" t="inlineStr">
        <is>
          <t>P6</t>
        </is>
      </c>
      <c r="B133" s="16" t="inlineStr">
        <is>
          <t>고충처리</t>
        </is>
      </c>
      <c r="C133" s="41">
        <f>SUM($C$79:$C$82)</f>
        <v/>
      </c>
      <c r="E133">
        <f>IF(E$5&lt;&gt;1,"",IF(SUMPRODUCT($C$79:$C$82,--(E79:E82&lt;&gt;""))=0,"",SUMPRODUCT($C$79:$C$82,E79:E82)/SUMPRODUCT($C$79:$C$82,--(E79:E82&lt;&gt;""))*$C133))</f>
        <v/>
      </c>
      <c r="F133">
        <f>IF(F$5&lt;&gt;1,"",IF(SUMPRODUCT($C$79:$C$82,--(F79:F82&lt;&gt;""))=0,"",SUMPRODUCT($C$79:$C$82,F79:F82)/SUMPRODUCT($C$79:$C$82,--(F79:F82&lt;&gt;""))*$C133))</f>
        <v/>
      </c>
      <c r="G133">
        <f>IF(G$5&lt;&gt;1,"",IF(SUMPRODUCT($C$79:$C$82,--(G79:G82&lt;&gt;""))=0,"",SUMPRODUCT($C$79:$C$82,G79:G82)/SUMPRODUCT($C$79:$C$82,--(G79:G82&lt;&gt;""))*$C133))</f>
        <v/>
      </c>
      <c r="H133">
        <f>IF(H$5&lt;&gt;1,"",IF(SUMPRODUCT($C$79:$C$82,--(H79:H82&lt;&gt;""))=0,"",SUMPRODUCT($C$79:$C$82,H79:H82)/SUMPRODUCT($C$79:$C$82,--(H79:H82&lt;&gt;""))*$C133))</f>
        <v/>
      </c>
      <c r="I133">
        <f>IF(I$5&lt;&gt;1,"",IF(SUMPRODUCT($C$79:$C$82,--(I79:I82&lt;&gt;""))=0,"",SUMPRODUCT($C$79:$C$82,I79:I82)/SUMPRODUCT($C$79:$C$82,--(I79:I82&lt;&gt;""))*$C133))</f>
        <v/>
      </c>
      <c r="J133">
        <f>IF(J$5&lt;&gt;1,"",IF(SUMPRODUCT($C$79:$C$82,--(J79:J82&lt;&gt;""))=0,"",SUMPRODUCT($C$79:$C$82,J79:J82)/SUMPRODUCT($C$79:$C$82,--(J79:J82&lt;&gt;""))*$C133))</f>
        <v/>
      </c>
      <c r="K133">
        <f>IF(K$5&lt;&gt;1,"",IF(SUMPRODUCT($C$79:$C$82,--(K79:K82&lt;&gt;""))=0,"",SUMPRODUCT($C$79:$C$82,K79:K82)/SUMPRODUCT($C$79:$C$82,--(K79:K82&lt;&gt;""))*$C133))</f>
        <v/>
      </c>
      <c r="L133">
        <f>IF(L$5&lt;&gt;1,"",IF(SUMPRODUCT($C$79:$C$82,--(L79:L82&lt;&gt;""))=0,"",SUMPRODUCT($C$79:$C$82,L79:L82)/SUMPRODUCT($C$79:$C$82,--(L79:L82&lt;&gt;""))*$C133))</f>
        <v/>
      </c>
      <c r="M133">
        <f>IF(M$5&lt;&gt;1,"",IF(SUMPRODUCT($C$79:$C$82,--(M79:M82&lt;&gt;""))=0,"",SUMPRODUCT($C$79:$C$82,M79:M82)/SUMPRODUCT($C$79:$C$82,--(M79:M82&lt;&gt;""))*$C133))</f>
        <v/>
      </c>
      <c r="N133">
        <f>IF(N$5&lt;&gt;1,"",IF(SUMPRODUCT($C$79:$C$82,--(N79:N82&lt;&gt;""))=0,"",SUMPRODUCT($C$79:$C$82,N79:N82)/SUMPRODUCT($C$79:$C$82,--(N79:N82&lt;&gt;""))*$C133))</f>
        <v/>
      </c>
      <c r="O133">
        <f>IF(O$5&lt;&gt;1,"",IF(SUMPRODUCT($C$79:$C$82,--(O79:O82&lt;&gt;""))=0,"",SUMPRODUCT($C$79:$C$82,O79:O82)/SUMPRODUCT($C$79:$C$82,--(O79:O82&lt;&gt;""))*$C133))</f>
        <v/>
      </c>
      <c r="P133">
        <f>IF(P$5&lt;&gt;1,"",IF(SUMPRODUCT($C$79:$C$82,--(P79:P82&lt;&gt;""))=0,"",SUMPRODUCT($C$79:$C$82,P79:P82)/SUMPRODUCT($C$79:$C$82,--(P79:P82&lt;&gt;""))*$C133))</f>
        <v/>
      </c>
      <c r="Q133">
        <f>IF(Q$5&lt;&gt;1,"",IF(SUMPRODUCT($C$79:$C$82,--(Q79:Q82&lt;&gt;""))=0,"",SUMPRODUCT($C$79:$C$82,Q79:Q82)/SUMPRODUCT($C$79:$C$82,--(Q79:Q82&lt;&gt;""))*$C133))</f>
        <v/>
      </c>
      <c r="R133">
        <f>IF(R$5&lt;&gt;1,"",IF(SUMPRODUCT($C$79:$C$82,--(R79:R82&lt;&gt;""))=0,"",SUMPRODUCT($C$79:$C$82,R79:R82)/SUMPRODUCT($C$79:$C$82,--(R79:R82&lt;&gt;""))*$C133))</f>
        <v/>
      </c>
      <c r="S133">
        <f>IF(S$5&lt;&gt;1,"",IF(SUMPRODUCT($C$79:$C$82,--(S79:S82&lt;&gt;""))=0,"",SUMPRODUCT($C$79:$C$82,S79:S82)/SUMPRODUCT($C$79:$C$82,--(S79:S82&lt;&gt;""))*$C133))</f>
        <v/>
      </c>
      <c r="T133">
        <f>IF(T$5&lt;&gt;1,"",IF(SUMPRODUCT($C$79:$C$82,--(T79:T82&lt;&gt;""))=0,"",SUMPRODUCT($C$79:$C$82,T79:T82)/SUMPRODUCT($C$79:$C$82,--(T79:T82&lt;&gt;""))*$C133))</f>
        <v/>
      </c>
      <c r="U133">
        <f>IF(U$5&lt;&gt;1,"",IF(SUMPRODUCT($C$79:$C$82,--(U79:U82&lt;&gt;""))=0,"",SUMPRODUCT($C$79:$C$82,U79:U82)/SUMPRODUCT($C$79:$C$82,--(U79:U82&lt;&gt;""))*$C133))</f>
        <v/>
      </c>
      <c r="V133">
        <f>IF(V$5&lt;&gt;1,"",IF(SUMPRODUCT($C$79:$C$82,--(V79:V82&lt;&gt;""))=0,"",SUMPRODUCT($C$79:$C$82,V79:V82)/SUMPRODUCT($C$79:$C$82,--(V79:V82&lt;&gt;""))*$C133))</f>
        <v/>
      </c>
      <c r="W133">
        <f>IF(W$5&lt;&gt;1,"",IF(SUMPRODUCT($C$79:$C$82,--(W79:W82&lt;&gt;""))=0,"",SUMPRODUCT($C$79:$C$82,W79:W82)/SUMPRODUCT($C$79:$C$82,--(W79:W82&lt;&gt;""))*$C133))</f>
        <v/>
      </c>
      <c r="X133">
        <f>IF(X$5&lt;&gt;1,"",IF(SUMPRODUCT($C$79:$C$82,--(X79:X82&lt;&gt;""))=0,"",SUMPRODUCT($C$79:$C$82,X79:X82)/SUMPRODUCT($C$79:$C$82,--(X79:X82&lt;&gt;""))*$C133))</f>
        <v/>
      </c>
      <c r="Y133">
        <f>IF(Y$5&lt;&gt;1,"",IF(SUMPRODUCT($C$79:$C$82,--(Y79:Y82&lt;&gt;""))=0,"",SUMPRODUCT($C$79:$C$82,Y79:Y82)/SUMPRODUCT($C$79:$C$82,--(Y79:Y82&lt;&gt;""))*$C133))</f>
        <v/>
      </c>
      <c r="Z133">
        <f>IF(Z$5&lt;&gt;1,"",IF(SUMPRODUCT($C$79:$C$82,--(Z79:Z82&lt;&gt;""))=0,"",SUMPRODUCT($C$79:$C$82,Z79:Z82)/SUMPRODUCT($C$79:$C$82,--(Z79:Z82&lt;&gt;""))*$C133))</f>
        <v/>
      </c>
      <c r="AA133">
        <f>IF(AA$5&lt;&gt;1,"",IF(SUMPRODUCT($C$79:$C$82,--(AA79:AA82&lt;&gt;""))=0,"",SUMPRODUCT($C$79:$C$82,AA79:AA82)/SUMPRODUCT($C$79:$C$82,--(AA79:AA82&lt;&gt;""))*$C133))</f>
        <v/>
      </c>
      <c r="AB133">
        <f>IF(AB$5&lt;&gt;1,"",IF(SUMPRODUCT($C$79:$C$82,--(AB79:AB82&lt;&gt;""))=0,"",SUMPRODUCT($C$79:$C$82,AB79:AB82)/SUMPRODUCT($C$79:$C$82,--(AB79:AB82&lt;&gt;""))*$C133))</f>
        <v/>
      </c>
      <c r="AC133">
        <f>IF(AC$5&lt;&gt;1,"",IF(SUMPRODUCT($C$79:$C$82,--(AC79:AC82&lt;&gt;""))=0,"",SUMPRODUCT($C$79:$C$82,AC79:AC82)/SUMPRODUCT($C$79:$C$82,--(AC79:AC82&lt;&gt;""))*$C133))</f>
        <v/>
      </c>
      <c r="AD133">
        <f>IF(AD$5&lt;&gt;1,"",IF(SUMPRODUCT($C$79:$C$82,--(AD79:AD82&lt;&gt;""))=0,"",SUMPRODUCT($C$79:$C$82,AD79:AD82)/SUMPRODUCT($C$79:$C$82,--(AD79:AD82&lt;&gt;""))*$C133))</f>
        <v/>
      </c>
      <c r="AE133">
        <f>IF(AE$5&lt;&gt;1,"",IF(SUMPRODUCT($C$79:$C$82,--(AE79:AE82&lt;&gt;""))=0,"",SUMPRODUCT($C$79:$C$82,AE79:AE82)/SUMPRODUCT($C$79:$C$82,--(AE79:AE82&lt;&gt;""))*$C133))</f>
        <v/>
      </c>
      <c r="AF133">
        <f>IF(AF$5&lt;&gt;1,"",IF(SUMPRODUCT($C$79:$C$82,--(AF79:AF82&lt;&gt;""))=0,"",SUMPRODUCT($C$79:$C$82,AF79:AF82)/SUMPRODUCT($C$79:$C$82,--(AF79:AF82&lt;&gt;""))*$C133))</f>
        <v/>
      </c>
      <c r="AG133">
        <f>IF(AG$5&lt;&gt;1,"",IF(SUMPRODUCT($C$79:$C$82,--(AG79:AG82&lt;&gt;""))=0,"",SUMPRODUCT($C$79:$C$82,AG79:AG82)/SUMPRODUCT($C$79:$C$82,--(AG79:AG82&lt;&gt;""))*$C133))</f>
        <v/>
      </c>
      <c r="AH133">
        <f>IF(AH$5&lt;&gt;1,"",IF(SUMPRODUCT($C$79:$C$82,--(AH79:AH82&lt;&gt;""))=0,"",SUMPRODUCT($C$79:$C$82,AH79:AH82)/SUMPRODUCT($C$79:$C$82,--(AH79:AH82&lt;&gt;""))*$C133))</f>
        <v/>
      </c>
      <c r="AI133">
        <f>IF(AI$5&lt;&gt;1,"",IF(SUMPRODUCT($C$79:$C$82,--(AI79:AI82&lt;&gt;""))=0,"",SUMPRODUCT($C$79:$C$82,AI79:AI82)/SUMPRODUCT($C$79:$C$82,--(AI79:AI82&lt;&gt;""))*$C133))</f>
        <v/>
      </c>
      <c r="AJ133">
        <f>IF(AJ$5&lt;&gt;1,"",IF(SUMPRODUCT($C$79:$C$82,--(AJ79:AJ82&lt;&gt;""))=0,"",SUMPRODUCT($C$79:$C$82,AJ79:AJ82)/SUMPRODUCT($C$79:$C$82,--(AJ79:AJ82&lt;&gt;""))*$C133))</f>
        <v/>
      </c>
      <c r="AK133">
        <f>IF(AK$5&lt;&gt;1,"",IF(SUMPRODUCT($C$79:$C$82,--(AK79:AK82&lt;&gt;""))=0,"",SUMPRODUCT($C$79:$C$82,AK79:AK82)/SUMPRODUCT($C$79:$C$82,--(AK79:AK82&lt;&gt;""))*$C133))</f>
        <v/>
      </c>
      <c r="AL133">
        <f>IF(AL$5&lt;&gt;1,"",IF(SUMPRODUCT($C$79:$C$82,--(AL79:AL82&lt;&gt;""))=0,"",SUMPRODUCT($C$79:$C$82,AL79:AL82)/SUMPRODUCT($C$79:$C$82,--(AL79:AL82&lt;&gt;""))*$C133))</f>
        <v/>
      </c>
      <c r="AM133">
        <f>IF(AM$5&lt;&gt;1,"",IF(SUMPRODUCT($C$79:$C$82,--(AM79:AM82&lt;&gt;""))=0,"",SUMPRODUCT($C$79:$C$82,AM79:AM82)/SUMPRODUCT($C$79:$C$82,--(AM79:AM82&lt;&gt;""))*$C133))</f>
        <v/>
      </c>
      <c r="AN133">
        <f>IF(AN$5&lt;&gt;1,"",IF(SUMPRODUCT($C$79:$C$82,--(AN79:AN82&lt;&gt;""))=0,"",SUMPRODUCT($C$79:$C$82,AN79:AN82)/SUMPRODUCT($C$79:$C$82,--(AN79:AN82&lt;&gt;""))*$C133))</f>
        <v/>
      </c>
      <c r="AO133">
        <f>IF(AO$5&lt;&gt;1,"",IF(SUMPRODUCT($C$79:$C$82,--(AO79:AO82&lt;&gt;""))=0,"",SUMPRODUCT($C$79:$C$82,AO79:AO82)/SUMPRODUCT($C$79:$C$82,--(AO79:AO82&lt;&gt;""))*$C133))</f>
        <v/>
      </c>
      <c r="AP133">
        <f>IF(AP$5&lt;&gt;1,"",IF(SUMPRODUCT($C$79:$C$82,--(AP79:AP82&lt;&gt;""))=0,"",SUMPRODUCT($C$79:$C$82,AP79:AP82)/SUMPRODUCT($C$79:$C$82,--(AP79:AP82&lt;&gt;""))*$C133))</f>
        <v/>
      </c>
      <c r="AQ133">
        <f>IF(AQ$5&lt;&gt;1,"",IF(SUMPRODUCT($C$79:$C$82,--(AQ79:AQ82&lt;&gt;""))=0,"",SUMPRODUCT($C$79:$C$82,AQ79:AQ82)/SUMPRODUCT($C$79:$C$82,--(AQ79:AQ82&lt;&gt;""))*$C133))</f>
        <v/>
      </c>
      <c r="AR133">
        <f>IF(AR$5&lt;&gt;1,"",IF(SUMPRODUCT($C$79:$C$82,--(AR79:AR82&lt;&gt;""))=0,"",SUMPRODUCT($C$79:$C$82,AR79:AR82)/SUMPRODUCT($C$79:$C$82,--(AR79:AR82&lt;&gt;""))*$C133))</f>
        <v/>
      </c>
      <c r="AS133">
        <f>IF(AS$5&lt;&gt;1,"",IF(SUMPRODUCT($C$79:$C$82,--(AS79:AS82&lt;&gt;""))=0,"",SUMPRODUCT($C$79:$C$82,AS79:AS82)/SUMPRODUCT($C$79:$C$82,--(AS79:AS82&lt;&gt;""))*$C133))</f>
        <v/>
      </c>
      <c r="AT133">
        <f>IF(AT$5&lt;&gt;1,"",IF(SUMPRODUCT($C$79:$C$82,--(AT79:AT82&lt;&gt;""))=0,"",SUMPRODUCT($C$79:$C$82,AT79:AT82)/SUMPRODUCT($C$79:$C$82,--(AT79:AT82&lt;&gt;""))*$C133))</f>
        <v/>
      </c>
      <c r="AU133">
        <f>IF(AU$5&lt;&gt;1,"",IF(SUMPRODUCT($C$79:$C$82,--(AU79:AU82&lt;&gt;""))=0,"",SUMPRODUCT($C$79:$C$82,AU79:AU82)/SUMPRODUCT($C$79:$C$82,--(AU79:AU82&lt;&gt;""))*$C133))</f>
        <v/>
      </c>
      <c r="AV133">
        <f>IF(AV$5&lt;&gt;1,"",IF(SUMPRODUCT($C$79:$C$82,--(AV79:AV82&lt;&gt;""))=0,"",SUMPRODUCT($C$79:$C$82,AV79:AV82)/SUMPRODUCT($C$79:$C$82,--(AV79:AV82&lt;&gt;""))*$C133))</f>
        <v/>
      </c>
      <c r="AW133">
        <f>IF(AW$5&lt;&gt;1,"",IF(SUMPRODUCT($C$79:$C$82,--(AW79:AW82&lt;&gt;""))=0,"",SUMPRODUCT($C$79:$C$82,AW79:AW82)/SUMPRODUCT($C$79:$C$82,--(AW79:AW82&lt;&gt;""))*$C133))</f>
        <v/>
      </c>
      <c r="AX133">
        <f>IF(AX$5&lt;&gt;1,"",IF(SUMPRODUCT($C$79:$C$82,--(AX79:AX82&lt;&gt;""))=0,"",SUMPRODUCT($C$79:$C$82,AX79:AX82)/SUMPRODUCT($C$79:$C$82,--(AX79:AX82&lt;&gt;""))*$C133))</f>
        <v/>
      </c>
      <c r="AY133">
        <f>IF(AY$5&lt;&gt;1,"",IF(SUMPRODUCT($C$79:$C$82,--(AY79:AY82&lt;&gt;""))=0,"",SUMPRODUCT($C$79:$C$82,AY79:AY82)/SUMPRODUCT($C$79:$C$82,--(AY79:AY82&lt;&gt;""))*$C133))</f>
        <v/>
      </c>
      <c r="AZ133">
        <f>IF(AZ$5&lt;&gt;1,"",IF(SUMPRODUCT($C$79:$C$82,--(AZ79:AZ82&lt;&gt;""))=0,"",SUMPRODUCT($C$79:$C$82,AZ79:AZ82)/SUMPRODUCT($C$79:$C$82,--(AZ79:AZ82&lt;&gt;""))*$C133))</f>
        <v/>
      </c>
      <c r="BA133">
        <f>IF(BA$5&lt;&gt;1,"",IF(SUMPRODUCT($C$79:$C$82,--(BA79:BA82&lt;&gt;""))=0,"",SUMPRODUCT($C$79:$C$82,BA79:BA82)/SUMPRODUCT($C$79:$C$82,--(BA79:BA82&lt;&gt;""))*$C133))</f>
        <v/>
      </c>
      <c r="BB133">
        <f>IF(BB$5&lt;&gt;1,"",IF(SUMPRODUCT($C$79:$C$82,--(BB79:BB82&lt;&gt;""))=0,"",SUMPRODUCT($C$79:$C$82,BB79:BB82)/SUMPRODUCT($C$79:$C$82,--(BB79:BB82&lt;&gt;""))*$C133))</f>
        <v/>
      </c>
    </row>
    <row r="134">
      <c r="A134" s="16" t="inlineStr">
        <is>
          <t>P7</t>
        </is>
      </c>
      <c r="B134" s="16" t="inlineStr">
        <is>
          <t>노사협의회 활용성</t>
        </is>
      </c>
      <c r="C134" s="41">
        <f>SUM($C$83:$C$87)</f>
        <v/>
      </c>
      <c r="E134">
        <f>IF(E$5&lt;&gt;1,"",IF($C$2,"",IF($E$2,0,IF(SUMPRODUCT($C$83:$C$87,--(E83:E87&lt;&gt;""))=0,"",SUMPRODUCT($C$83:$C$87,E83:E87)/SUMPRODUCT($C$83:$C$87,--(E83:E87&lt;&gt;""))*$C134))))</f>
        <v/>
      </c>
      <c r="F134">
        <f>IF(F$5&lt;&gt;1,"",IF($C$2,"",IF($E$2,0,IF(SUMPRODUCT($C$83:$C$87,--(F83:F87&lt;&gt;""))=0,"",SUMPRODUCT($C$83:$C$87,F83:F87)/SUMPRODUCT($C$83:$C$87,--(F83:F87&lt;&gt;""))*$C134))))</f>
        <v/>
      </c>
      <c r="G134">
        <f>IF(G$5&lt;&gt;1,"",IF($C$2,"",IF($E$2,0,IF(SUMPRODUCT($C$83:$C$87,--(G83:G87&lt;&gt;""))=0,"",SUMPRODUCT($C$83:$C$87,G83:G87)/SUMPRODUCT($C$83:$C$87,--(G83:G87&lt;&gt;""))*$C134))))</f>
        <v/>
      </c>
      <c r="H134">
        <f>IF(H$5&lt;&gt;1,"",IF($C$2,"",IF($E$2,0,IF(SUMPRODUCT($C$83:$C$87,--(H83:H87&lt;&gt;""))=0,"",SUMPRODUCT($C$83:$C$87,H83:H87)/SUMPRODUCT($C$83:$C$87,--(H83:H87&lt;&gt;""))*$C134))))</f>
        <v/>
      </c>
      <c r="I134">
        <f>IF(I$5&lt;&gt;1,"",IF($C$2,"",IF($E$2,0,IF(SUMPRODUCT($C$83:$C$87,--(I83:I87&lt;&gt;""))=0,"",SUMPRODUCT($C$83:$C$87,I83:I87)/SUMPRODUCT($C$83:$C$87,--(I83:I87&lt;&gt;""))*$C134))))</f>
        <v/>
      </c>
      <c r="J134">
        <f>IF(J$5&lt;&gt;1,"",IF($C$2,"",IF($E$2,0,IF(SUMPRODUCT($C$83:$C$87,--(J83:J87&lt;&gt;""))=0,"",SUMPRODUCT($C$83:$C$87,J83:J87)/SUMPRODUCT($C$83:$C$87,--(J83:J87&lt;&gt;""))*$C134))))</f>
        <v/>
      </c>
      <c r="K134">
        <f>IF(K$5&lt;&gt;1,"",IF($C$2,"",IF($E$2,0,IF(SUMPRODUCT($C$83:$C$87,--(K83:K87&lt;&gt;""))=0,"",SUMPRODUCT($C$83:$C$87,K83:K87)/SUMPRODUCT($C$83:$C$87,--(K83:K87&lt;&gt;""))*$C134))))</f>
        <v/>
      </c>
      <c r="L134">
        <f>IF(L$5&lt;&gt;1,"",IF($C$2,"",IF($E$2,0,IF(SUMPRODUCT($C$83:$C$87,--(L83:L87&lt;&gt;""))=0,"",SUMPRODUCT($C$83:$C$87,L83:L87)/SUMPRODUCT($C$83:$C$87,--(L83:L87&lt;&gt;""))*$C134))))</f>
        <v/>
      </c>
      <c r="M134">
        <f>IF(M$5&lt;&gt;1,"",IF($C$2,"",IF($E$2,0,IF(SUMPRODUCT($C$83:$C$87,--(M83:M87&lt;&gt;""))=0,"",SUMPRODUCT($C$83:$C$87,M83:M87)/SUMPRODUCT($C$83:$C$87,--(M83:M87&lt;&gt;""))*$C134))))</f>
        <v/>
      </c>
      <c r="N134">
        <f>IF(N$5&lt;&gt;1,"",IF($C$2,"",IF($E$2,0,IF(SUMPRODUCT($C$83:$C$87,--(N83:N87&lt;&gt;""))=0,"",SUMPRODUCT($C$83:$C$87,N83:N87)/SUMPRODUCT($C$83:$C$87,--(N83:N87&lt;&gt;""))*$C134))))</f>
        <v/>
      </c>
      <c r="O134">
        <f>IF(O$5&lt;&gt;1,"",IF($C$2,"",IF($E$2,0,IF(SUMPRODUCT($C$83:$C$87,--(O83:O87&lt;&gt;""))=0,"",SUMPRODUCT($C$83:$C$87,O83:O87)/SUMPRODUCT($C$83:$C$87,--(O83:O87&lt;&gt;""))*$C134))))</f>
        <v/>
      </c>
      <c r="P134">
        <f>IF(P$5&lt;&gt;1,"",IF($C$2,"",IF($E$2,0,IF(SUMPRODUCT($C$83:$C$87,--(P83:P87&lt;&gt;""))=0,"",SUMPRODUCT($C$83:$C$87,P83:P87)/SUMPRODUCT($C$83:$C$87,--(P83:P87&lt;&gt;""))*$C134))))</f>
        <v/>
      </c>
      <c r="Q134">
        <f>IF(Q$5&lt;&gt;1,"",IF($C$2,"",IF($E$2,0,IF(SUMPRODUCT($C$83:$C$87,--(Q83:Q87&lt;&gt;""))=0,"",SUMPRODUCT($C$83:$C$87,Q83:Q87)/SUMPRODUCT($C$83:$C$87,--(Q83:Q87&lt;&gt;""))*$C134))))</f>
        <v/>
      </c>
      <c r="R134">
        <f>IF(R$5&lt;&gt;1,"",IF($C$2,"",IF($E$2,0,IF(SUMPRODUCT($C$83:$C$87,--(R83:R87&lt;&gt;""))=0,"",SUMPRODUCT($C$83:$C$87,R83:R87)/SUMPRODUCT($C$83:$C$87,--(R83:R87&lt;&gt;""))*$C134))))</f>
        <v/>
      </c>
      <c r="S134">
        <f>IF(S$5&lt;&gt;1,"",IF($C$2,"",IF($E$2,0,IF(SUMPRODUCT($C$83:$C$87,--(S83:S87&lt;&gt;""))=0,"",SUMPRODUCT($C$83:$C$87,S83:S87)/SUMPRODUCT($C$83:$C$87,--(S83:S87&lt;&gt;""))*$C134))))</f>
        <v/>
      </c>
      <c r="T134">
        <f>IF(T$5&lt;&gt;1,"",IF($C$2,"",IF($E$2,0,IF(SUMPRODUCT($C$83:$C$87,--(T83:T87&lt;&gt;""))=0,"",SUMPRODUCT($C$83:$C$87,T83:T87)/SUMPRODUCT($C$83:$C$87,--(T83:T87&lt;&gt;""))*$C134))))</f>
        <v/>
      </c>
      <c r="U134">
        <f>IF(U$5&lt;&gt;1,"",IF($C$2,"",IF($E$2,0,IF(SUMPRODUCT($C$83:$C$87,--(U83:U87&lt;&gt;""))=0,"",SUMPRODUCT($C$83:$C$87,U83:U87)/SUMPRODUCT($C$83:$C$87,--(U83:U87&lt;&gt;""))*$C134))))</f>
        <v/>
      </c>
      <c r="V134">
        <f>IF(V$5&lt;&gt;1,"",IF($C$2,"",IF($E$2,0,IF(SUMPRODUCT($C$83:$C$87,--(V83:V87&lt;&gt;""))=0,"",SUMPRODUCT($C$83:$C$87,V83:V87)/SUMPRODUCT($C$83:$C$87,--(V83:V87&lt;&gt;""))*$C134))))</f>
        <v/>
      </c>
      <c r="W134">
        <f>IF(W$5&lt;&gt;1,"",IF($C$2,"",IF($E$2,0,IF(SUMPRODUCT($C$83:$C$87,--(W83:W87&lt;&gt;""))=0,"",SUMPRODUCT($C$83:$C$87,W83:W87)/SUMPRODUCT($C$83:$C$87,--(W83:W87&lt;&gt;""))*$C134))))</f>
        <v/>
      </c>
      <c r="X134">
        <f>IF(X$5&lt;&gt;1,"",IF($C$2,"",IF($E$2,0,IF(SUMPRODUCT($C$83:$C$87,--(X83:X87&lt;&gt;""))=0,"",SUMPRODUCT($C$83:$C$87,X83:X87)/SUMPRODUCT($C$83:$C$87,--(X83:X87&lt;&gt;""))*$C134))))</f>
        <v/>
      </c>
      <c r="Y134">
        <f>IF(Y$5&lt;&gt;1,"",IF($C$2,"",IF($E$2,0,IF(SUMPRODUCT($C$83:$C$87,--(Y83:Y87&lt;&gt;""))=0,"",SUMPRODUCT($C$83:$C$87,Y83:Y87)/SUMPRODUCT($C$83:$C$87,--(Y83:Y87&lt;&gt;""))*$C134))))</f>
        <v/>
      </c>
      <c r="Z134">
        <f>IF(Z$5&lt;&gt;1,"",IF($C$2,"",IF($E$2,0,IF(SUMPRODUCT($C$83:$C$87,--(Z83:Z87&lt;&gt;""))=0,"",SUMPRODUCT($C$83:$C$87,Z83:Z87)/SUMPRODUCT($C$83:$C$87,--(Z83:Z87&lt;&gt;""))*$C134))))</f>
        <v/>
      </c>
      <c r="AA134">
        <f>IF(AA$5&lt;&gt;1,"",IF($C$2,"",IF($E$2,0,IF(SUMPRODUCT($C$83:$C$87,--(AA83:AA87&lt;&gt;""))=0,"",SUMPRODUCT($C$83:$C$87,AA83:AA87)/SUMPRODUCT($C$83:$C$87,--(AA83:AA87&lt;&gt;""))*$C134))))</f>
        <v/>
      </c>
      <c r="AB134">
        <f>IF(AB$5&lt;&gt;1,"",IF($C$2,"",IF($E$2,0,IF(SUMPRODUCT($C$83:$C$87,--(AB83:AB87&lt;&gt;""))=0,"",SUMPRODUCT($C$83:$C$87,AB83:AB87)/SUMPRODUCT($C$83:$C$87,--(AB83:AB87&lt;&gt;""))*$C134))))</f>
        <v/>
      </c>
      <c r="AC134">
        <f>IF(AC$5&lt;&gt;1,"",IF($C$2,"",IF($E$2,0,IF(SUMPRODUCT($C$83:$C$87,--(AC83:AC87&lt;&gt;""))=0,"",SUMPRODUCT($C$83:$C$87,AC83:AC87)/SUMPRODUCT($C$83:$C$87,--(AC83:AC87&lt;&gt;""))*$C134))))</f>
        <v/>
      </c>
      <c r="AD134">
        <f>IF(AD$5&lt;&gt;1,"",IF($C$2,"",IF($E$2,0,IF(SUMPRODUCT($C$83:$C$87,--(AD83:AD87&lt;&gt;""))=0,"",SUMPRODUCT($C$83:$C$87,AD83:AD87)/SUMPRODUCT($C$83:$C$87,--(AD83:AD87&lt;&gt;""))*$C134))))</f>
        <v/>
      </c>
      <c r="AE134">
        <f>IF(AE$5&lt;&gt;1,"",IF($C$2,"",IF($E$2,0,IF(SUMPRODUCT($C$83:$C$87,--(AE83:AE87&lt;&gt;""))=0,"",SUMPRODUCT($C$83:$C$87,AE83:AE87)/SUMPRODUCT($C$83:$C$87,--(AE83:AE87&lt;&gt;""))*$C134))))</f>
        <v/>
      </c>
      <c r="AF134">
        <f>IF(AF$5&lt;&gt;1,"",IF($C$2,"",IF($E$2,0,IF(SUMPRODUCT($C$83:$C$87,--(AF83:AF87&lt;&gt;""))=0,"",SUMPRODUCT($C$83:$C$87,AF83:AF87)/SUMPRODUCT($C$83:$C$87,--(AF83:AF87&lt;&gt;""))*$C134))))</f>
        <v/>
      </c>
      <c r="AG134">
        <f>IF(AG$5&lt;&gt;1,"",IF($C$2,"",IF($E$2,0,IF(SUMPRODUCT($C$83:$C$87,--(AG83:AG87&lt;&gt;""))=0,"",SUMPRODUCT($C$83:$C$87,AG83:AG87)/SUMPRODUCT($C$83:$C$87,--(AG83:AG87&lt;&gt;""))*$C134))))</f>
        <v/>
      </c>
      <c r="AH134">
        <f>IF(AH$5&lt;&gt;1,"",IF($C$2,"",IF($E$2,0,IF(SUMPRODUCT($C$83:$C$87,--(AH83:AH87&lt;&gt;""))=0,"",SUMPRODUCT($C$83:$C$87,AH83:AH87)/SUMPRODUCT($C$83:$C$87,--(AH83:AH87&lt;&gt;""))*$C134))))</f>
        <v/>
      </c>
      <c r="AI134">
        <f>IF(AI$5&lt;&gt;1,"",IF($C$2,"",IF($E$2,0,IF(SUMPRODUCT($C$83:$C$87,--(AI83:AI87&lt;&gt;""))=0,"",SUMPRODUCT($C$83:$C$87,AI83:AI87)/SUMPRODUCT($C$83:$C$87,--(AI83:AI87&lt;&gt;""))*$C134))))</f>
        <v/>
      </c>
      <c r="AJ134">
        <f>IF(AJ$5&lt;&gt;1,"",IF($C$2,"",IF($E$2,0,IF(SUMPRODUCT($C$83:$C$87,--(AJ83:AJ87&lt;&gt;""))=0,"",SUMPRODUCT($C$83:$C$87,AJ83:AJ87)/SUMPRODUCT($C$83:$C$87,--(AJ83:AJ87&lt;&gt;""))*$C134))))</f>
        <v/>
      </c>
      <c r="AK134">
        <f>IF(AK$5&lt;&gt;1,"",IF($C$2,"",IF($E$2,0,IF(SUMPRODUCT($C$83:$C$87,--(AK83:AK87&lt;&gt;""))=0,"",SUMPRODUCT($C$83:$C$87,AK83:AK87)/SUMPRODUCT($C$83:$C$87,--(AK83:AK87&lt;&gt;""))*$C134))))</f>
        <v/>
      </c>
      <c r="AL134">
        <f>IF(AL$5&lt;&gt;1,"",IF($C$2,"",IF($E$2,0,IF(SUMPRODUCT($C$83:$C$87,--(AL83:AL87&lt;&gt;""))=0,"",SUMPRODUCT($C$83:$C$87,AL83:AL87)/SUMPRODUCT($C$83:$C$87,--(AL83:AL87&lt;&gt;""))*$C134))))</f>
        <v/>
      </c>
      <c r="AM134">
        <f>IF(AM$5&lt;&gt;1,"",IF($C$2,"",IF($E$2,0,IF(SUMPRODUCT($C$83:$C$87,--(AM83:AM87&lt;&gt;""))=0,"",SUMPRODUCT($C$83:$C$87,AM83:AM87)/SUMPRODUCT($C$83:$C$87,--(AM83:AM87&lt;&gt;""))*$C134))))</f>
        <v/>
      </c>
      <c r="AN134">
        <f>IF(AN$5&lt;&gt;1,"",IF($C$2,"",IF($E$2,0,IF(SUMPRODUCT($C$83:$C$87,--(AN83:AN87&lt;&gt;""))=0,"",SUMPRODUCT($C$83:$C$87,AN83:AN87)/SUMPRODUCT($C$83:$C$87,--(AN83:AN87&lt;&gt;""))*$C134))))</f>
        <v/>
      </c>
      <c r="AO134">
        <f>IF(AO$5&lt;&gt;1,"",IF($C$2,"",IF($E$2,0,IF(SUMPRODUCT($C$83:$C$87,--(AO83:AO87&lt;&gt;""))=0,"",SUMPRODUCT($C$83:$C$87,AO83:AO87)/SUMPRODUCT($C$83:$C$87,--(AO83:AO87&lt;&gt;""))*$C134))))</f>
        <v/>
      </c>
      <c r="AP134">
        <f>IF(AP$5&lt;&gt;1,"",IF($C$2,"",IF($E$2,0,IF(SUMPRODUCT($C$83:$C$87,--(AP83:AP87&lt;&gt;""))=0,"",SUMPRODUCT($C$83:$C$87,AP83:AP87)/SUMPRODUCT($C$83:$C$87,--(AP83:AP87&lt;&gt;""))*$C134))))</f>
        <v/>
      </c>
      <c r="AQ134">
        <f>IF(AQ$5&lt;&gt;1,"",IF($C$2,"",IF($E$2,0,IF(SUMPRODUCT($C$83:$C$87,--(AQ83:AQ87&lt;&gt;""))=0,"",SUMPRODUCT($C$83:$C$87,AQ83:AQ87)/SUMPRODUCT($C$83:$C$87,--(AQ83:AQ87&lt;&gt;""))*$C134))))</f>
        <v/>
      </c>
      <c r="AR134">
        <f>IF(AR$5&lt;&gt;1,"",IF($C$2,"",IF($E$2,0,IF(SUMPRODUCT($C$83:$C$87,--(AR83:AR87&lt;&gt;""))=0,"",SUMPRODUCT($C$83:$C$87,AR83:AR87)/SUMPRODUCT($C$83:$C$87,--(AR83:AR87&lt;&gt;""))*$C134))))</f>
        <v/>
      </c>
      <c r="AS134">
        <f>IF(AS$5&lt;&gt;1,"",IF($C$2,"",IF($E$2,0,IF(SUMPRODUCT($C$83:$C$87,--(AS83:AS87&lt;&gt;""))=0,"",SUMPRODUCT($C$83:$C$87,AS83:AS87)/SUMPRODUCT($C$83:$C$87,--(AS83:AS87&lt;&gt;""))*$C134))))</f>
        <v/>
      </c>
      <c r="AT134">
        <f>IF(AT$5&lt;&gt;1,"",IF($C$2,"",IF($E$2,0,IF(SUMPRODUCT($C$83:$C$87,--(AT83:AT87&lt;&gt;""))=0,"",SUMPRODUCT($C$83:$C$87,AT83:AT87)/SUMPRODUCT($C$83:$C$87,--(AT83:AT87&lt;&gt;""))*$C134))))</f>
        <v/>
      </c>
      <c r="AU134">
        <f>IF(AU$5&lt;&gt;1,"",IF($C$2,"",IF($E$2,0,IF(SUMPRODUCT($C$83:$C$87,--(AU83:AU87&lt;&gt;""))=0,"",SUMPRODUCT($C$83:$C$87,AU83:AU87)/SUMPRODUCT($C$83:$C$87,--(AU83:AU87&lt;&gt;""))*$C134))))</f>
        <v/>
      </c>
      <c r="AV134">
        <f>IF(AV$5&lt;&gt;1,"",IF($C$2,"",IF($E$2,0,IF(SUMPRODUCT($C$83:$C$87,--(AV83:AV87&lt;&gt;""))=0,"",SUMPRODUCT($C$83:$C$87,AV83:AV87)/SUMPRODUCT($C$83:$C$87,--(AV83:AV87&lt;&gt;""))*$C134))))</f>
        <v/>
      </c>
      <c r="AW134">
        <f>IF(AW$5&lt;&gt;1,"",IF($C$2,"",IF($E$2,0,IF(SUMPRODUCT($C$83:$C$87,--(AW83:AW87&lt;&gt;""))=0,"",SUMPRODUCT($C$83:$C$87,AW83:AW87)/SUMPRODUCT($C$83:$C$87,--(AW83:AW87&lt;&gt;""))*$C134))))</f>
        <v/>
      </c>
      <c r="AX134">
        <f>IF(AX$5&lt;&gt;1,"",IF($C$2,"",IF($E$2,0,IF(SUMPRODUCT($C$83:$C$87,--(AX83:AX87&lt;&gt;""))=0,"",SUMPRODUCT($C$83:$C$87,AX83:AX87)/SUMPRODUCT($C$83:$C$87,--(AX83:AX87&lt;&gt;""))*$C134))))</f>
        <v/>
      </c>
      <c r="AY134">
        <f>IF(AY$5&lt;&gt;1,"",IF($C$2,"",IF($E$2,0,IF(SUMPRODUCT($C$83:$C$87,--(AY83:AY87&lt;&gt;""))=0,"",SUMPRODUCT($C$83:$C$87,AY83:AY87)/SUMPRODUCT($C$83:$C$87,--(AY83:AY87&lt;&gt;""))*$C134))))</f>
        <v/>
      </c>
      <c r="AZ134">
        <f>IF(AZ$5&lt;&gt;1,"",IF($C$2,"",IF($E$2,0,IF(SUMPRODUCT($C$83:$C$87,--(AZ83:AZ87&lt;&gt;""))=0,"",SUMPRODUCT($C$83:$C$87,AZ83:AZ87)/SUMPRODUCT($C$83:$C$87,--(AZ83:AZ87&lt;&gt;""))*$C134))))</f>
        <v/>
      </c>
      <c r="BA134">
        <f>IF(BA$5&lt;&gt;1,"",IF($C$2,"",IF($E$2,0,IF(SUMPRODUCT($C$83:$C$87,--(BA83:BA87&lt;&gt;""))=0,"",SUMPRODUCT($C$83:$C$87,BA83:BA87)/SUMPRODUCT($C$83:$C$87,--(BA83:BA87&lt;&gt;""))*$C134))))</f>
        <v/>
      </c>
      <c r="BB134">
        <f>IF(BB$5&lt;&gt;1,"",IF($C$2,"",IF($E$2,0,IF(SUMPRODUCT($C$83:$C$87,--(BB83:BB87&lt;&gt;""))=0,"",SUMPRODUCT($C$83:$C$87,BB83:BB87)/SUMPRODUCT($C$83:$C$87,--(BB83:BB87&lt;&gt;""))*$C134))))</f>
        <v/>
      </c>
    </row>
    <row r="135">
      <c r="A135" s="45" t="inlineStr">
        <is>
          <t>TOTAL</t>
        </is>
      </c>
      <c r="B135" s="45" t="inlineStr">
        <is>
          <t>노사관계 종합(100점 환산)</t>
        </is>
      </c>
      <c r="E135">
        <f>IF(E$5&lt;&gt;1,"",IFERROR(SUM(E128:E134)/SUMPRODUCT($C$128:$C$134,--(E128:E134&lt;&gt;""))*100,""))</f>
        <v/>
      </c>
      <c r="F135">
        <f>IF(F$5&lt;&gt;1,"",IFERROR(SUM(F128:F134)/SUMPRODUCT($C$128:$C$134,--(F128:F134&lt;&gt;""))*100,""))</f>
        <v/>
      </c>
      <c r="G135">
        <f>IF(G$5&lt;&gt;1,"",IFERROR(SUM(G128:G134)/SUMPRODUCT($C$128:$C$134,--(G128:G134&lt;&gt;""))*100,""))</f>
        <v/>
      </c>
      <c r="H135">
        <f>IF(H$5&lt;&gt;1,"",IFERROR(SUM(H128:H134)/SUMPRODUCT($C$128:$C$134,--(H128:H134&lt;&gt;""))*100,""))</f>
        <v/>
      </c>
      <c r="I135">
        <f>IF(I$5&lt;&gt;1,"",IFERROR(SUM(I128:I134)/SUMPRODUCT($C$128:$C$134,--(I128:I134&lt;&gt;""))*100,""))</f>
        <v/>
      </c>
      <c r="J135">
        <f>IF(J$5&lt;&gt;1,"",IFERROR(SUM(J128:J134)/SUMPRODUCT($C$128:$C$134,--(J128:J134&lt;&gt;""))*100,""))</f>
        <v/>
      </c>
      <c r="K135">
        <f>IF(K$5&lt;&gt;1,"",IFERROR(SUM(K128:K134)/SUMPRODUCT($C$128:$C$134,--(K128:K134&lt;&gt;""))*100,""))</f>
        <v/>
      </c>
      <c r="L135">
        <f>IF(L$5&lt;&gt;1,"",IFERROR(SUM(L128:L134)/SUMPRODUCT($C$128:$C$134,--(L128:L134&lt;&gt;""))*100,""))</f>
        <v/>
      </c>
      <c r="M135">
        <f>IF(M$5&lt;&gt;1,"",IFERROR(SUM(M128:M134)/SUMPRODUCT($C$128:$C$134,--(M128:M134&lt;&gt;""))*100,""))</f>
        <v/>
      </c>
      <c r="N135">
        <f>IF(N$5&lt;&gt;1,"",IFERROR(SUM(N128:N134)/SUMPRODUCT($C$128:$C$134,--(N128:N134&lt;&gt;""))*100,""))</f>
        <v/>
      </c>
      <c r="O135">
        <f>IF(O$5&lt;&gt;1,"",IFERROR(SUM(O128:O134)/SUMPRODUCT($C$128:$C$134,--(O128:O134&lt;&gt;""))*100,""))</f>
        <v/>
      </c>
      <c r="P135">
        <f>IF(P$5&lt;&gt;1,"",IFERROR(SUM(P128:P134)/SUMPRODUCT($C$128:$C$134,--(P128:P134&lt;&gt;""))*100,""))</f>
        <v/>
      </c>
      <c r="Q135">
        <f>IF(Q$5&lt;&gt;1,"",IFERROR(SUM(Q128:Q134)/SUMPRODUCT($C$128:$C$134,--(Q128:Q134&lt;&gt;""))*100,""))</f>
        <v/>
      </c>
      <c r="R135">
        <f>IF(R$5&lt;&gt;1,"",IFERROR(SUM(R128:R134)/SUMPRODUCT($C$128:$C$134,--(R128:R134&lt;&gt;""))*100,""))</f>
        <v/>
      </c>
      <c r="S135">
        <f>IF(S$5&lt;&gt;1,"",IFERROR(SUM(S128:S134)/SUMPRODUCT($C$128:$C$134,--(S128:S134&lt;&gt;""))*100,""))</f>
        <v/>
      </c>
      <c r="T135">
        <f>IF(T$5&lt;&gt;1,"",IFERROR(SUM(T128:T134)/SUMPRODUCT($C$128:$C$134,--(T128:T134&lt;&gt;""))*100,""))</f>
        <v/>
      </c>
      <c r="U135">
        <f>IF(U$5&lt;&gt;1,"",IFERROR(SUM(U128:U134)/SUMPRODUCT($C$128:$C$134,--(U128:U134&lt;&gt;""))*100,""))</f>
        <v/>
      </c>
      <c r="V135">
        <f>IF(V$5&lt;&gt;1,"",IFERROR(SUM(V128:V134)/SUMPRODUCT($C$128:$C$134,--(V128:V134&lt;&gt;""))*100,""))</f>
        <v/>
      </c>
      <c r="W135">
        <f>IF(W$5&lt;&gt;1,"",IFERROR(SUM(W128:W134)/SUMPRODUCT($C$128:$C$134,--(W128:W134&lt;&gt;""))*100,""))</f>
        <v/>
      </c>
      <c r="X135">
        <f>IF(X$5&lt;&gt;1,"",IFERROR(SUM(X128:X134)/SUMPRODUCT($C$128:$C$134,--(X128:X134&lt;&gt;""))*100,""))</f>
        <v/>
      </c>
      <c r="Y135">
        <f>IF(Y$5&lt;&gt;1,"",IFERROR(SUM(Y128:Y134)/SUMPRODUCT($C$128:$C$134,--(Y128:Y134&lt;&gt;""))*100,""))</f>
        <v/>
      </c>
      <c r="Z135">
        <f>IF(Z$5&lt;&gt;1,"",IFERROR(SUM(Z128:Z134)/SUMPRODUCT($C$128:$C$134,--(Z128:Z134&lt;&gt;""))*100,""))</f>
        <v/>
      </c>
      <c r="AA135">
        <f>IF(AA$5&lt;&gt;1,"",IFERROR(SUM(AA128:AA134)/SUMPRODUCT($C$128:$C$134,--(AA128:AA134&lt;&gt;""))*100,""))</f>
        <v/>
      </c>
      <c r="AB135">
        <f>IF(AB$5&lt;&gt;1,"",IFERROR(SUM(AB128:AB134)/SUMPRODUCT($C$128:$C$134,--(AB128:AB134&lt;&gt;""))*100,""))</f>
        <v/>
      </c>
      <c r="AC135">
        <f>IF(AC$5&lt;&gt;1,"",IFERROR(SUM(AC128:AC134)/SUMPRODUCT($C$128:$C$134,--(AC128:AC134&lt;&gt;""))*100,""))</f>
        <v/>
      </c>
      <c r="AD135">
        <f>IF(AD$5&lt;&gt;1,"",IFERROR(SUM(AD128:AD134)/SUMPRODUCT($C$128:$C$134,--(AD128:AD134&lt;&gt;""))*100,""))</f>
        <v/>
      </c>
      <c r="AE135">
        <f>IF(AE$5&lt;&gt;1,"",IFERROR(SUM(AE128:AE134)/SUMPRODUCT($C$128:$C$134,--(AE128:AE134&lt;&gt;""))*100,""))</f>
        <v/>
      </c>
      <c r="AF135">
        <f>IF(AF$5&lt;&gt;1,"",IFERROR(SUM(AF128:AF134)/SUMPRODUCT($C$128:$C$134,--(AF128:AF134&lt;&gt;""))*100,""))</f>
        <v/>
      </c>
      <c r="AG135">
        <f>IF(AG$5&lt;&gt;1,"",IFERROR(SUM(AG128:AG134)/SUMPRODUCT($C$128:$C$134,--(AG128:AG134&lt;&gt;""))*100,""))</f>
        <v/>
      </c>
      <c r="AH135">
        <f>IF(AH$5&lt;&gt;1,"",IFERROR(SUM(AH128:AH134)/SUMPRODUCT($C$128:$C$134,--(AH128:AH134&lt;&gt;""))*100,""))</f>
        <v/>
      </c>
      <c r="AI135">
        <f>IF(AI$5&lt;&gt;1,"",IFERROR(SUM(AI128:AI134)/SUMPRODUCT($C$128:$C$134,--(AI128:AI134&lt;&gt;""))*100,""))</f>
        <v/>
      </c>
      <c r="AJ135">
        <f>IF(AJ$5&lt;&gt;1,"",IFERROR(SUM(AJ128:AJ134)/SUMPRODUCT($C$128:$C$134,--(AJ128:AJ134&lt;&gt;""))*100,""))</f>
        <v/>
      </c>
      <c r="AK135">
        <f>IF(AK$5&lt;&gt;1,"",IFERROR(SUM(AK128:AK134)/SUMPRODUCT($C$128:$C$134,--(AK128:AK134&lt;&gt;""))*100,""))</f>
        <v/>
      </c>
      <c r="AL135">
        <f>IF(AL$5&lt;&gt;1,"",IFERROR(SUM(AL128:AL134)/SUMPRODUCT($C$128:$C$134,--(AL128:AL134&lt;&gt;""))*100,""))</f>
        <v/>
      </c>
      <c r="AM135">
        <f>IF(AM$5&lt;&gt;1,"",IFERROR(SUM(AM128:AM134)/SUMPRODUCT($C$128:$C$134,--(AM128:AM134&lt;&gt;""))*100,""))</f>
        <v/>
      </c>
      <c r="AN135">
        <f>IF(AN$5&lt;&gt;1,"",IFERROR(SUM(AN128:AN134)/SUMPRODUCT($C$128:$C$134,--(AN128:AN134&lt;&gt;""))*100,""))</f>
        <v/>
      </c>
      <c r="AO135">
        <f>IF(AO$5&lt;&gt;1,"",IFERROR(SUM(AO128:AO134)/SUMPRODUCT($C$128:$C$134,--(AO128:AO134&lt;&gt;""))*100,""))</f>
        <v/>
      </c>
      <c r="AP135">
        <f>IF(AP$5&lt;&gt;1,"",IFERROR(SUM(AP128:AP134)/SUMPRODUCT($C$128:$C$134,--(AP128:AP134&lt;&gt;""))*100,""))</f>
        <v/>
      </c>
      <c r="AQ135">
        <f>IF(AQ$5&lt;&gt;1,"",IFERROR(SUM(AQ128:AQ134)/SUMPRODUCT($C$128:$C$134,--(AQ128:AQ134&lt;&gt;""))*100,""))</f>
        <v/>
      </c>
      <c r="AR135">
        <f>IF(AR$5&lt;&gt;1,"",IFERROR(SUM(AR128:AR134)/SUMPRODUCT($C$128:$C$134,--(AR128:AR134&lt;&gt;""))*100,""))</f>
        <v/>
      </c>
      <c r="AS135">
        <f>IF(AS$5&lt;&gt;1,"",IFERROR(SUM(AS128:AS134)/SUMPRODUCT($C$128:$C$134,--(AS128:AS134&lt;&gt;""))*100,""))</f>
        <v/>
      </c>
      <c r="AT135">
        <f>IF(AT$5&lt;&gt;1,"",IFERROR(SUM(AT128:AT134)/SUMPRODUCT($C$128:$C$134,--(AT128:AT134&lt;&gt;""))*100,""))</f>
        <v/>
      </c>
      <c r="AU135">
        <f>IF(AU$5&lt;&gt;1,"",IFERROR(SUM(AU128:AU134)/SUMPRODUCT($C$128:$C$134,--(AU128:AU134&lt;&gt;""))*100,""))</f>
        <v/>
      </c>
      <c r="AV135">
        <f>IF(AV$5&lt;&gt;1,"",IFERROR(SUM(AV128:AV134)/SUMPRODUCT($C$128:$C$134,--(AV128:AV134&lt;&gt;""))*100,""))</f>
        <v/>
      </c>
      <c r="AW135">
        <f>IF(AW$5&lt;&gt;1,"",IFERROR(SUM(AW128:AW134)/SUMPRODUCT($C$128:$C$134,--(AW128:AW134&lt;&gt;""))*100,""))</f>
        <v/>
      </c>
      <c r="AX135">
        <f>IF(AX$5&lt;&gt;1,"",IFERROR(SUM(AX128:AX134)/SUMPRODUCT($C$128:$C$134,--(AX128:AX134&lt;&gt;""))*100,""))</f>
        <v/>
      </c>
      <c r="AY135">
        <f>IF(AY$5&lt;&gt;1,"",IFERROR(SUM(AY128:AY134)/SUMPRODUCT($C$128:$C$134,--(AY128:AY134&lt;&gt;""))*100,""))</f>
        <v/>
      </c>
      <c r="AZ135">
        <f>IF(AZ$5&lt;&gt;1,"",IFERROR(SUM(AZ128:AZ134)/SUMPRODUCT($C$128:$C$134,--(AZ128:AZ134&lt;&gt;""))*100,""))</f>
        <v/>
      </c>
      <c r="BA135">
        <f>IF(BA$5&lt;&gt;1,"",IFERROR(SUM(BA128:BA134)/SUMPRODUCT($C$128:$C$134,--(BA128:BA134&lt;&gt;""))*100,""))</f>
        <v/>
      </c>
      <c r="BB135">
        <f>IF(BB$5&lt;&gt;1,"",IFERROR(SUM(BB128:BB134)/SUMPRODUCT($C$128:$C$134,--(BB128:BB134&lt;&gt;""))*100,""))</f>
        <v/>
      </c>
    </row>
    <row r="137">
      <c r="A137" s="42" t="inlineStr">
        <is>
          <t>⑤ 파트 점수 — 2023·24식</t>
        </is>
      </c>
    </row>
    <row r="138">
      <c r="A138" s="16" t="inlineStr">
        <is>
          <t>P1</t>
        </is>
      </c>
      <c r="B138" s="16" t="inlineStr">
        <is>
          <t>노사관계 전반 인식</t>
        </is>
      </c>
      <c r="C138" s="41">
        <f>SUM($C$90:$C$93)</f>
        <v/>
      </c>
      <c r="E138">
        <f>IF(E$5&lt;&gt;1,"",IF(SUMPRODUCT($C$90:$C$93,--(E90:E93&lt;&gt;""))=0,"",SUMPRODUCT($C$90:$C$93,E90:E93)/SUMPRODUCT($C$90:$C$93,--(E90:E93&lt;&gt;""))*$C138))</f>
        <v/>
      </c>
      <c r="F138">
        <f>IF(F$5&lt;&gt;1,"",IF(SUMPRODUCT($C$90:$C$93,--(F90:F93&lt;&gt;""))=0,"",SUMPRODUCT($C$90:$C$93,F90:F93)/SUMPRODUCT($C$90:$C$93,--(F90:F93&lt;&gt;""))*$C138))</f>
        <v/>
      </c>
      <c r="G138">
        <f>IF(G$5&lt;&gt;1,"",IF(SUMPRODUCT($C$90:$C$93,--(G90:G93&lt;&gt;""))=0,"",SUMPRODUCT($C$90:$C$93,G90:G93)/SUMPRODUCT($C$90:$C$93,--(G90:G93&lt;&gt;""))*$C138))</f>
        <v/>
      </c>
      <c r="H138">
        <f>IF(H$5&lt;&gt;1,"",IF(SUMPRODUCT($C$90:$C$93,--(H90:H93&lt;&gt;""))=0,"",SUMPRODUCT($C$90:$C$93,H90:H93)/SUMPRODUCT($C$90:$C$93,--(H90:H93&lt;&gt;""))*$C138))</f>
        <v/>
      </c>
      <c r="I138">
        <f>IF(I$5&lt;&gt;1,"",IF(SUMPRODUCT($C$90:$C$93,--(I90:I93&lt;&gt;""))=0,"",SUMPRODUCT($C$90:$C$93,I90:I93)/SUMPRODUCT($C$90:$C$93,--(I90:I93&lt;&gt;""))*$C138))</f>
        <v/>
      </c>
      <c r="J138">
        <f>IF(J$5&lt;&gt;1,"",IF(SUMPRODUCT($C$90:$C$93,--(J90:J93&lt;&gt;""))=0,"",SUMPRODUCT($C$90:$C$93,J90:J93)/SUMPRODUCT($C$90:$C$93,--(J90:J93&lt;&gt;""))*$C138))</f>
        <v/>
      </c>
      <c r="K138">
        <f>IF(K$5&lt;&gt;1,"",IF(SUMPRODUCT($C$90:$C$93,--(K90:K93&lt;&gt;""))=0,"",SUMPRODUCT($C$90:$C$93,K90:K93)/SUMPRODUCT($C$90:$C$93,--(K90:K93&lt;&gt;""))*$C138))</f>
        <v/>
      </c>
      <c r="L138">
        <f>IF(L$5&lt;&gt;1,"",IF(SUMPRODUCT($C$90:$C$93,--(L90:L93&lt;&gt;""))=0,"",SUMPRODUCT($C$90:$C$93,L90:L93)/SUMPRODUCT($C$90:$C$93,--(L90:L93&lt;&gt;""))*$C138))</f>
        <v/>
      </c>
      <c r="M138">
        <f>IF(M$5&lt;&gt;1,"",IF(SUMPRODUCT($C$90:$C$93,--(M90:M93&lt;&gt;""))=0,"",SUMPRODUCT($C$90:$C$93,M90:M93)/SUMPRODUCT($C$90:$C$93,--(M90:M93&lt;&gt;""))*$C138))</f>
        <v/>
      </c>
      <c r="N138">
        <f>IF(N$5&lt;&gt;1,"",IF(SUMPRODUCT($C$90:$C$93,--(N90:N93&lt;&gt;""))=0,"",SUMPRODUCT($C$90:$C$93,N90:N93)/SUMPRODUCT($C$90:$C$93,--(N90:N93&lt;&gt;""))*$C138))</f>
        <v/>
      </c>
      <c r="O138">
        <f>IF(O$5&lt;&gt;1,"",IF(SUMPRODUCT($C$90:$C$93,--(O90:O93&lt;&gt;""))=0,"",SUMPRODUCT($C$90:$C$93,O90:O93)/SUMPRODUCT($C$90:$C$93,--(O90:O93&lt;&gt;""))*$C138))</f>
        <v/>
      </c>
      <c r="P138">
        <f>IF(P$5&lt;&gt;1,"",IF(SUMPRODUCT($C$90:$C$93,--(P90:P93&lt;&gt;""))=0,"",SUMPRODUCT($C$90:$C$93,P90:P93)/SUMPRODUCT($C$90:$C$93,--(P90:P93&lt;&gt;""))*$C138))</f>
        <v/>
      </c>
      <c r="Q138">
        <f>IF(Q$5&lt;&gt;1,"",IF(SUMPRODUCT($C$90:$C$93,--(Q90:Q93&lt;&gt;""))=0,"",SUMPRODUCT($C$90:$C$93,Q90:Q93)/SUMPRODUCT($C$90:$C$93,--(Q90:Q93&lt;&gt;""))*$C138))</f>
        <v/>
      </c>
      <c r="R138">
        <f>IF(R$5&lt;&gt;1,"",IF(SUMPRODUCT($C$90:$C$93,--(R90:R93&lt;&gt;""))=0,"",SUMPRODUCT($C$90:$C$93,R90:R93)/SUMPRODUCT($C$90:$C$93,--(R90:R93&lt;&gt;""))*$C138))</f>
        <v/>
      </c>
      <c r="S138">
        <f>IF(S$5&lt;&gt;1,"",IF(SUMPRODUCT($C$90:$C$93,--(S90:S93&lt;&gt;""))=0,"",SUMPRODUCT($C$90:$C$93,S90:S93)/SUMPRODUCT($C$90:$C$93,--(S90:S93&lt;&gt;""))*$C138))</f>
        <v/>
      </c>
      <c r="T138">
        <f>IF(T$5&lt;&gt;1,"",IF(SUMPRODUCT($C$90:$C$93,--(T90:T93&lt;&gt;""))=0,"",SUMPRODUCT($C$90:$C$93,T90:T93)/SUMPRODUCT($C$90:$C$93,--(T90:T93&lt;&gt;""))*$C138))</f>
        <v/>
      </c>
      <c r="U138">
        <f>IF(U$5&lt;&gt;1,"",IF(SUMPRODUCT($C$90:$C$93,--(U90:U93&lt;&gt;""))=0,"",SUMPRODUCT($C$90:$C$93,U90:U93)/SUMPRODUCT($C$90:$C$93,--(U90:U93&lt;&gt;""))*$C138))</f>
        <v/>
      </c>
      <c r="V138">
        <f>IF(V$5&lt;&gt;1,"",IF(SUMPRODUCT($C$90:$C$93,--(V90:V93&lt;&gt;""))=0,"",SUMPRODUCT($C$90:$C$93,V90:V93)/SUMPRODUCT($C$90:$C$93,--(V90:V93&lt;&gt;""))*$C138))</f>
        <v/>
      </c>
      <c r="W138">
        <f>IF(W$5&lt;&gt;1,"",IF(SUMPRODUCT($C$90:$C$93,--(W90:W93&lt;&gt;""))=0,"",SUMPRODUCT($C$90:$C$93,W90:W93)/SUMPRODUCT($C$90:$C$93,--(W90:W93&lt;&gt;""))*$C138))</f>
        <v/>
      </c>
      <c r="X138">
        <f>IF(X$5&lt;&gt;1,"",IF(SUMPRODUCT($C$90:$C$93,--(X90:X93&lt;&gt;""))=0,"",SUMPRODUCT($C$90:$C$93,X90:X93)/SUMPRODUCT($C$90:$C$93,--(X90:X93&lt;&gt;""))*$C138))</f>
        <v/>
      </c>
      <c r="Y138">
        <f>IF(Y$5&lt;&gt;1,"",IF(SUMPRODUCT($C$90:$C$93,--(Y90:Y93&lt;&gt;""))=0,"",SUMPRODUCT($C$90:$C$93,Y90:Y93)/SUMPRODUCT($C$90:$C$93,--(Y90:Y93&lt;&gt;""))*$C138))</f>
        <v/>
      </c>
      <c r="Z138">
        <f>IF(Z$5&lt;&gt;1,"",IF(SUMPRODUCT($C$90:$C$93,--(Z90:Z93&lt;&gt;""))=0,"",SUMPRODUCT($C$90:$C$93,Z90:Z93)/SUMPRODUCT($C$90:$C$93,--(Z90:Z93&lt;&gt;""))*$C138))</f>
        <v/>
      </c>
      <c r="AA138">
        <f>IF(AA$5&lt;&gt;1,"",IF(SUMPRODUCT($C$90:$C$93,--(AA90:AA93&lt;&gt;""))=0,"",SUMPRODUCT($C$90:$C$93,AA90:AA93)/SUMPRODUCT($C$90:$C$93,--(AA90:AA93&lt;&gt;""))*$C138))</f>
        <v/>
      </c>
      <c r="AB138">
        <f>IF(AB$5&lt;&gt;1,"",IF(SUMPRODUCT($C$90:$C$93,--(AB90:AB93&lt;&gt;""))=0,"",SUMPRODUCT($C$90:$C$93,AB90:AB93)/SUMPRODUCT($C$90:$C$93,--(AB90:AB93&lt;&gt;""))*$C138))</f>
        <v/>
      </c>
      <c r="AC138">
        <f>IF(AC$5&lt;&gt;1,"",IF(SUMPRODUCT($C$90:$C$93,--(AC90:AC93&lt;&gt;""))=0,"",SUMPRODUCT($C$90:$C$93,AC90:AC93)/SUMPRODUCT($C$90:$C$93,--(AC90:AC93&lt;&gt;""))*$C138))</f>
        <v/>
      </c>
      <c r="AD138">
        <f>IF(AD$5&lt;&gt;1,"",IF(SUMPRODUCT($C$90:$C$93,--(AD90:AD93&lt;&gt;""))=0,"",SUMPRODUCT($C$90:$C$93,AD90:AD93)/SUMPRODUCT($C$90:$C$93,--(AD90:AD93&lt;&gt;""))*$C138))</f>
        <v/>
      </c>
      <c r="AE138">
        <f>IF(AE$5&lt;&gt;1,"",IF(SUMPRODUCT($C$90:$C$93,--(AE90:AE93&lt;&gt;""))=0,"",SUMPRODUCT($C$90:$C$93,AE90:AE93)/SUMPRODUCT($C$90:$C$93,--(AE90:AE93&lt;&gt;""))*$C138))</f>
        <v/>
      </c>
      <c r="AF138">
        <f>IF(AF$5&lt;&gt;1,"",IF(SUMPRODUCT($C$90:$C$93,--(AF90:AF93&lt;&gt;""))=0,"",SUMPRODUCT($C$90:$C$93,AF90:AF93)/SUMPRODUCT($C$90:$C$93,--(AF90:AF93&lt;&gt;""))*$C138))</f>
        <v/>
      </c>
      <c r="AG138">
        <f>IF(AG$5&lt;&gt;1,"",IF(SUMPRODUCT($C$90:$C$93,--(AG90:AG93&lt;&gt;""))=0,"",SUMPRODUCT($C$90:$C$93,AG90:AG93)/SUMPRODUCT($C$90:$C$93,--(AG90:AG93&lt;&gt;""))*$C138))</f>
        <v/>
      </c>
      <c r="AH138">
        <f>IF(AH$5&lt;&gt;1,"",IF(SUMPRODUCT($C$90:$C$93,--(AH90:AH93&lt;&gt;""))=0,"",SUMPRODUCT($C$90:$C$93,AH90:AH93)/SUMPRODUCT($C$90:$C$93,--(AH90:AH93&lt;&gt;""))*$C138))</f>
        <v/>
      </c>
      <c r="AI138">
        <f>IF(AI$5&lt;&gt;1,"",IF(SUMPRODUCT($C$90:$C$93,--(AI90:AI93&lt;&gt;""))=0,"",SUMPRODUCT($C$90:$C$93,AI90:AI93)/SUMPRODUCT($C$90:$C$93,--(AI90:AI93&lt;&gt;""))*$C138))</f>
        <v/>
      </c>
      <c r="AJ138">
        <f>IF(AJ$5&lt;&gt;1,"",IF(SUMPRODUCT($C$90:$C$93,--(AJ90:AJ93&lt;&gt;""))=0,"",SUMPRODUCT($C$90:$C$93,AJ90:AJ93)/SUMPRODUCT($C$90:$C$93,--(AJ90:AJ93&lt;&gt;""))*$C138))</f>
        <v/>
      </c>
      <c r="AK138">
        <f>IF(AK$5&lt;&gt;1,"",IF(SUMPRODUCT($C$90:$C$93,--(AK90:AK93&lt;&gt;""))=0,"",SUMPRODUCT($C$90:$C$93,AK90:AK93)/SUMPRODUCT($C$90:$C$93,--(AK90:AK93&lt;&gt;""))*$C138))</f>
        <v/>
      </c>
      <c r="AL138">
        <f>IF(AL$5&lt;&gt;1,"",IF(SUMPRODUCT($C$90:$C$93,--(AL90:AL93&lt;&gt;""))=0,"",SUMPRODUCT($C$90:$C$93,AL90:AL93)/SUMPRODUCT($C$90:$C$93,--(AL90:AL93&lt;&gt;""))*$C138))</f>
        <v/>
      </c>
      <c r="AM138">
        <f>IF(AM$5&lt;&gt;1,"",IF(SUMPRODUCT($C$90:$C$93,--(AM90:AM93&lt;&gt;""))=0,"",SUMPRODUCT($C$90:$C$93,AM90:AM93)/SUMPRODUCT($C$90:$C$93,--(AM90:AM93&lt;&gt;""))*$C138))</f>
        <v/>
      </c>
      <c r="AN138">
        <f>IF(AN$5&lt;&gt;1,"",IF(SUMPRODUCT($C$90:$C$93,--(AN90:AN93&lt;&gt;""))=0,"",SUMPRODUCT($C$90:$C$93,AN90:AN93)/SUMPRODUCT($C$90:$C$93,--(AN90:AN93&lt;&gt;""))*$C138))</f>
        <v/>
      </c>
      <c r="AO138">
        <f>IF(AO$5&lt;&gt;1,"",IF(SUMPRODUCT($C$90:$C$93,--(AO90:AO93&lt;&gt;""))=0,"",SUMPRODUCT($C$90:$C$93,AO90:AO93)/SUMPRODUCT($C$90:$C$93,--(AO90:AO93&lt;&gt;""))*$C138))</f>
        <v/>
      </c>
      <c r="AP138">
        <f>IF(AP$5&lt;&gt;1,"",IF(SUMPRODUCT($C$90:$C$93,--(AP90:AP93&lt;&gt;""))=0,"",SUMPRODUCT($C$90:$C$93,AP90:AP93)/SUMPRODUCT($C$90:$C$93,--(AP90:AP93&lt;&gt;""))*$C138))</f>
        <v/>
      </c>
      <c r="AQ138">
        <f>IF(AQ$5&lt;&gt;1,"",IF(SUMPRODUCT($C$90:$C$93,--(AQ90:AQ93&lt;&gt;""))=0,"",SUMPRODUCT($C$90:$C$93,AQ90:AQ93)/SUMPRODUCT($C$90:$C$93,--(AQ90:AQ93&lt;&gt;""))*$C138))</f>
        <v/>
      </c>
      <c r="AR138">
        <f>IF(AR$5&lt;&gt;1,"",IF(SUMPRODUCT($C$90:$C$93,--(AR90:AR93&lt;&gt;""))=0,"",SUMPRODUCT($C$90:$C$93,AR90:AR93)/SUMPRODUCT($C$90:$C$93,--(AR90:AR93&lt;&gt;""))*$C138))</f>
        <v/>
      </c>
      <c r="AS138">
        <f>IF(AS$5&lt;&gt;1,"",IF(SUMPRODUCT($C$90:$C$93,--(AS90:AS93&lt;&gt;""))=0,"",SUMPRODUCT($C$90:$C$93,AS90:AS93)/SUMPRODUCT($C$90:$C$93,--(AS90:AS93&lt;&gt;""))*$C138))</f>
        <v/>
      </c>
      <c r="AT138">
        <f>IF(AT$5&lt;&gt;1,"",IF(SUMPRODUCT($C$90:$C$93,--(AT90:AT93&lt;&gt;""))=0,"",SUMPRODUCT($C$90:$C$93,AT90:AT93)/SUMPRODUCT($C$90:$C$93,--(AT90:AT93&lt;&gt;""))*$C138))</f>
        <v/>
      </c>
      <c r="AU138">
        <f>IF(AU$5&lt;&gt;1,"",IF(SUMPRODUCT($C$90:$C$93,--(AU90:AU93&lt;&gt;""))=0,"",SUMPRODUCT($C$90:$C$93,AU90:AU93)/SUMPRODUCT($C$90:$C$93,--(AU90:AU93&lt;&gt;""))*$C138))</f>
        <v/>
      </c>
      <c r="AV138">
        <f>IF(AV$5&lt;&gt;1,"",IF(SUMPRODUCT($C$90:$C$93,--(AV90:AV93&lt;&gt;""))=0,"",SUMPRODUCT($C$90:$C$93,AV90:AV93)/SUMPRODUCT($C$90:$C$93,--(AV90:AV93&lt;&gt;""))*$C138))</f>
        <v/>
      </c>
      <c r="AW138">
        <f>IF(AW$5&lt;&gt;1,"",IF(SUMPRODUCT($C$90:$C$93,--(AW90:AW93&lt;&gt;""))=0,"",SUMPRODUCT($C$90:$C$93,AW90:AW93)/SUMPRODUCT($C$90:$C$93,--(AW90:AW93&lt;&gt;""))*$C138))</f>
        <v/>
      </c>
      <c r="AX138">
        <f>IF(AX$5&lt;&gt;1,"",IF(SUMPRODUCT($C$90:$C$93,--(AX90:AX93&lt;&gt;""))=0,"",SUMPRODUCT($C$90:$C$93,AX90:AX93)/SUMPRODUCT($C$90:$C$93,--(AX90:AX93&lt;&gt;""))*$C138))</f>
        <v/>
      </c>
      <c r="AY138">
        <f>IF(AY$5&lt;&gt;1,"",IF(SUMPRODUCT($C$90:$C$93,--(AY90:AY93&lt;&gt;""))=0,"",SUMPRODUCT($C$90:$C$93,AY90:AY93)/SUMPRODUCT($C$90:$C$93,--(AY90:AY93&lt;&gt;""))*$C138))</f>
        <v/>
      </c>
      <c r="AZ138">
        <f>IF(AZ$5&lt;&gt;1,"",IF(SUMPRODUCT($C$90:$C$93,--(AZ90:AZ93&lt;&gt;""))=0,"",SUMPRODUCT($C$90:$C$93,AZ90:AZ93)/SUMPRODUCT($C$90:$C$93,--(AZ90:AZ93&lt;&gt;""))*$C138))</f>
        <v/>
      </c>
      <c r="BA138">
        <f>IF(BA$5&lt;&gt;1,"",IF(SUMPRODUCT($C$90:$C$93,--(BA90:BA93&lt;&gt;""))=0,"",SUMPRODUCT($C$90:$C$93,BA90:BA93)/SUMPRODUCT($C$90:$C$93,--(BA90:BA93&lt;&gt;""))*$C138))</f>
        <v/>
      </c>
      <c r="BB138">
        <f>IF(BB$5&lt;&gt;1,"",IF(SUMPRODUCT($C$90:$C$93,--(BB90:BB93&lt;&gt;""))=0,"",SUMPRODUCT($C$90:$C$93,BB90:BB93)/SUMPRODUCT($C$90:$C$93,--(BB90:BB93&lt;&gt;""))*$C138))</f>
        <v/>
      </c>
    </row>
    <row r="139">
      <c r="A139" s="16" t="inlineStr">
        <is>
          <t>P2</t>
        </is>
      </c>
      <c r="B139" s="16" t="inlineStr">
        <is>
          <t>노조·근로자대표의 혁신 태도</t>
        </is>
      </c>
      <c r="C139" s="41">
        <f>SUM($C$94:$C$98)</f>
        <v/>
      </c>
      <c r="E139">
        <f>IF(E$5&lt;&gt;1,"",IF(SUMPRODUCT($C$94:$C$98,--(E94:E98&lt;&gt;""))=0,"",SUMPRODUCT($C$94:$C$98,E94:E98)/SUMPRODUCT($C$94:$C$98,--(E94:E98&lt;&gt;""))*$C139))</f>
        <v/>
      </c>
      <c r="F139">
        <f>IF(F$5&lt;&gt;1,"",IF(SUMPRODUCT($C$94:$C$98,--(F94:F98&lt;&gt;""))=0,"",SUMPRODUCT($C$94:$C$98,F94:F98)/SUMPRODUCT($C$94:$C$98,--(F94:F98&lt;&gt;""))*$C139))</f>
        <v/>
      </c>
      <c r="G139">
        <f>IF(G$5&lt;&gt;1,"",IF(SUMPRODUCT($C$94:$C$98,--(G94:G98&lt;&gt;""))=0,"",SUMPRODUCT($C$94:$C$98,G94:G98)/SUMPRODUCT($C$94:$C$98,--(G94:G98&lt;&gt;""))*$C139))</f>
        <v/>
      </c>
      <c r="H139">
        <f>IF(H$5&lt;&gt;1,"",IF(SUMPRODUCT($C$94:$C$98,--(H94:H98&lt;&gt;""))=0,"",SUMPRODUCT($C$94:$C$98,H94:H98)/SUMPRODUCT($C$94:$C$98,--(H94:H98&lt;&gt;""))*$C139))</f>
        <v/>
      </c>
      <c r="I139">
        <f>IF(I$5&lt;&gt;1,"",IF(SUMPRODUCT($C$94:$C$98,--(I94:I98&lt;&gt;""))=0,"",SUMPRODUCT($C$94:$C$98,I94:I98)/SUMPRODUCT($C$94:$C$98,--(I94:I98&lt;&gt;""))*$C139))</f>
        <v/>
      </c>
      <c r="J139">
        <f>IF(J$5&lt;&gt;1,"",IF(SUMPRODUCT($C$94:$C$98,--(J94:J98&lt;&gt;""))=0,"",SUMPRODUCT($C$94:$C$98,J94:J98)/SUMPRODUCT($C$94:$C$98,--(J94:J98&lt;&gt;""))*$C139))</f>
        <v/>
      </c>
      <c r="K139">
        <f>IF(K$5&lt;&gt;1,"",IF(SUMPRODUCT($C$94:$C$98,--(K94:K98&lt;&gt;""))=0,"",SUMPRODUCT($C$94:$C$98,K94:K98)/SUMPRODUCT($C$94:$C$98,--(K94:K98&lt;&gt;""))*$C139))</f>
        <v/>
      </c>
      <c r="L139">
        <f>IF(L$5&lt;&gt;1,"",IF(SUMPRODUCT($C$94:$C$98,--(L94:L98&lt;&gt;""))=0,"",SUMPRODUCT($C$94:$C$98,L94:L98)/SUMPRODUCT($C$94:$C$98,--(L94:L98&lt;&gt;""))*$C139))</f>
        <v/>
      </c>
      <c r="M139">
        <f>IF(M$5&lt;&gt;1,"",IF(SUMPRODUCT($C$94:$C$98,--(M94:M98&lt;&gt;""))=0,"",SUMPRODUCT($C$94:$C$98,M94:M98)/SUMPRODUCT($C$94:$C$98,--(M94:M98&lt;&gt;""))*$C139))</f>
        <v/>
      </c>
      <c r="N139">
        <f>IF(N$5&lt;&gt;1,"",IF(SUMPRODUCT($C$94:$C$98,--(N94:N98&lt;&gt;""))=0,"",SUMPRODUCT($C$94:$C$98,N94:N98)/SUMPRODUCT($C$94:$C$98,--(N94:N98&lt;&gt;""))*$C139))</f>
        <v/>
      </c>
      <c r="O139">
        <f>IF(O$5&lt;&gt;1,"",IF(SUMPRODUCT($C$94:$C$98,--(O94:O98&lt;&gt;""))=0,"",SUMPRODUCT($C$94:$C$98,O94:O98)/SUMPRODUCT($C$94:$C$98,--(O94:O98&lt;&gt;""))*$C139))</f>
        <v/>
      </c>
      <c r="P139">
        <f>IF(P$5&lt;&gt;1,"",IF(SUMPRODUCT($C$94:$C$98,--(P94:P98&lt;&gt;""))=0,"",SUMPRODUCT($C$94:$C$98,P94:P98)/SUMPRODUCT($C$94:$C$98,--(P94:P98&lt;&gt;""))*$C139))</f>
        <v/>
      </c>
      <c r="Q139">
        <f>IF(Q$5&lt;&gt;1,"",IF(SUMPRODUCT($C$94:$C$98,--(Q94:Q98&lt;&gt;""))=0,"",SUMPRODUCT($C$94:$C$98,Q94:Q98)/SUMPRODUCT($C$94:$C$98,--(Q94:Q98&lt;&gt;""))*$C139))</f>
        <v/>
      </c>
      <c r="R139">
        <f>IF(R$5&lt;&gt;1,"",IF(SUMPRODUCT($C$94:$C$98,--(R94:R98&lt;&gt;""))=0,"",SUMPRODUCT($C$94:$C$98,R94:R98)/SUMPRODUCT($C$94:$C$98,--(R94:R98&lt;&gt;""))*$C139))</f>
        <v/>
      </c>
      <c r="S139">
        <f>IF(S$5&lt;&gt;1,"",IF(SUMPRODUCT($C$94:$C$98,--(S94:S98&lt;&gt;""))=0,"",SUMPRODUCT($C$94:$C$98,S94:S98)/SUMPRODUCT($C$94:$C$98,--(S94:S98&lt;&gt;""))*$C139))</f>
        <v/>
      </c>
      <c r="T139">
        <f>IF(T$5&lt;&gt;1,"",IF(SUMPRODUCT($C$94:$C$98,--(T94:T98&lt;&gt;""))=0,"",SUMPRODUCT($C$94:$C$98,T94:T98)/SUMPRODUCT($C$94:$C$98,--(T94:T98&lt;&gt;""))*$C139))</f>
        <v/>
      </c>
      <c r="U139">
        <f>IF(U$5&lt;&gt;1,"",IF(SUMPRODUCT($C$94:$C$98,--(U94:U98&lt;&gt;""))=0,"",SUMPRODUCT($C$94:$C$98,U94:U98)/SUMPRODUCT($C$94:$C$98,--(U94:U98&lt;&gt;""))*$C139))</f>
        <v/>
      </c>
      <c r="V139">
        <f>IF(V$5&lt;&gt;1,"",IF(SUMPRODUCT($C$94:$C$98,--(V94:V98&lt;&gt;""))=0,"",SUMPRODUCT($C$94:$C$98,V94:V98)/SUMPRODUCT($C$94:$C$98,--(V94:V98&lt;&gt;""))*$C139))</f>
        <v/>
      </c>
      <c r="W139">
        <f>IF(W$5&lt;&gt;1,"",IF(SUMPRODUCT($C$94:$C$98,--(W94:W98&lt;&gt;""))=0,"",SUMPRODUCT($C$94:$C$98,W94:W98)/SUMPRODUCT($C$94:$C$98,--(W94:W98&lt;&gt;""))*$C139))</f>
        <v/>
      </c>
      <c r="X139">
        <f>IF(X$5&lt;&gt;1,"",IF(SUMPRODUCT($C$94:$C$98,--(X94:X98&lt;&gt;""))=0,"",SUMPRODUCT($C$94:$C$98,X94:X98)/SUMPRODUCT($C$94:$C$98,--(X94:X98&lt;&gt;""))*$C139))</f>
        <v/>
      </c>
      <c r="Y139">
        <f>IF(Y$5&lt;&gt;1,"",IF(SUMPRODUCT($C$94:$C$98,--(Y94:Y98&lt;&gt;""))=0,"",SUMPRODUCT($C$94:$C$98,Y94:Y98)/SUMPRODUCT($C$94:$C$98,--(Y94:Y98&lt;&gt;""))*$C139))</f>
        <v/>
      </c>
      <c r="Z139">
        <f>IF(Z$5&lt;&gt;1,"",IF(SUMPRODUCT($C$94:$C$98,--(Z94:Z98&lt;&gt;""))=0,"",SUMPRODUCT($C$94:$C$98,Z94:Z98)/SUMPRODUCT($C$94:$C$98,--(Z94:Z98&lt;&gt;""))*$C139))</f>
        <v/>
      </c>
      <c r="AA139">
        <f>IF(AA$5&lt;&gt;1,"",IF(SUMPRODUCT($C$94:$C$98,--(AA94:AA98&lt;&gt;""))=0,"",SUMPRODUCT($C$94:$C$98,AA94:AA98)/SUMPRODUCT($C$94:$C$98,--(AA94:AA98&lt;&gt;""))*$C139))</f>
        <v/>
      </c>
      <c r="AB139">
        <f>IF(AB$5&lt;&gt;1,"",IF(SUMPRODUCT($C$94:$C$98,--(AB94:AB98&lt;&gt;""))=0,"",SUMPRODUCT($C$94:$C$98,AB94:AB98)/SUMPRODUCT($C$94:$C$98,--(AB94:AB98&lt;&gt;""))*$C139))</f>
        <v/>
      </c>
      <c r="AC139">
        <f>IF(AC$5&lt;&gt;1,"",IF(SUMPRODUCT($C$94:$C$98,--(AC94:AC98&lt;&gt;""))=0,"",SUMPRODUCT($C$94:$C$98,AC94:AC98)/SUMPRODUCT($C$94:$C$98,--(AC94:AC98&lt;&gt;""))*$C139))</f>
        <v/>
      </c>
      <c r="AD139">
        <f>IF(AD$5&lt;&gt;1,"",IF(SUMPRODUCT($C$94:$C$98,--(AD94:AD98&lt;&gt;""))=0,"",SUMPRODUCT($C$94:$C$98,AD94:AD98)/SUMPRODUCT($C$94:$C$98,--(AD94:AD98&lt;&gt;""))*$C139))</f>
        <v/>
      </c>
      <c r="AE139">
        <f>IF(AE$5&lt;&gt;1,"",IF(SUMPRODUCT($C$94:$C$98,--(AE94:AE98&lt;&gt;""))=0,"",SUMPRODUCT($C$94:$C$98,AE94:AE98)/SUMPRODUCT($C$94:$C$98,--(AE94:AE98&lt;&gt;""))*$C139))</f>
        <v/>
      </c>
      <c r="AF139">
        <f>IF(AF$5&lt;&gt;1,"",IF(SUMPRODUCT($C$94:$C$98,--(AF94:AF98&lt;&gt;""))=0,"",SUMPRODUCT($C$94:$C$98,AF94:AF98)/SUMPRODUCT($C$94:$C$98,--(AF94:AF98&lt;&gt;""))*$C139))</f>
        <v/>
      </c>
      <c r="AG139">
        <f>IF(AG$5&lt;&gt;1,"",IF(SUMPRODUCT($C$94:$C$98,--(AG94:AG98&lt;&gt;""))=0,"",SUMPRODUCT($C$94:$C$98,AG94:AG98)/SUMPRODUCT($C$94:$C$98,--(AG94:AG98&lt;&gt;""))*$C139))</f>
        <v/>
      </c>
      <c r="AH139">
        <f>IF(AH$5&lt;&gt;1,"",IF(SUMPRODUCT($C$94:$C$98,--(AH94:AH98&lt;&gt;""))=0,"",SUMPRODUCT($C$94:$C$98,AH94:AH98)/SUMPRODUCT($C$94:$C$98,--(AH94:AH98&lt;&gt;""))*$C139))</f>
        <v/>
      </c>
      <c r="AI139">
        <f>IF(AI$5&lt;&gt;1,"",IF(SUMPRODUCT($C$94:$C$98,--(AI94:AI98&lt;&gt;""))=0,"",SUMPRODUCT($C$94:$C$98,AI94:AI98)/SUMPRODUCT($C$94:$C$98,--(AI94:AI98&lt;&gt;""))*$C139))</f>
        <v/>
      </c>
      <c r="AJ139">
        <f>IF(AJ$5&lt;&gt;1,"",IF(SUMPRODUCT($C$94:$C$98,--(AJ94:AJ98&lt;&gt;""))=0,"",SUMPRODUCT($C$94:$C$98,AJ94:AJ98)/SUMPRODUCT($C$94:$C$98,--(AJ94:AJ98&lt;&gt;""))*$C139))</f>
        <v/>
      </c>
      <c r="AK139">
        <f>IF(AK$5&lt;&gt;1,"",IF(SUMPRODUCT($C$94:$C$98,--(AK94:AK98&lt;&gt;""))=0,"",SUMPRODUCT($C$94:$C$98,AK94:AK98)/SUMPRODUCT($C$94:$C$98,--(AK94:AK98&lt;&gt;""))*$C139))</f>
        <v/>
      </c>
      <c r="AL139">
        <f>IF(AL$5&lt;&gt;1,"",IF(SUMPRODUCT($C$94:$C$98,--(AL94:AL98&lt;&gt;""))=0,"",SUMPRODUCT($C$94:$C$98,AL94:AL98)/SUMPRODUCT($C$94:$C$98,--(AL94:AL98&lt;&gt;""))*$C139))</f>
        <v/>
      </c>
      <c r="AM139">
        <f>IF(AM$5&lt;&gt;1,"",IF(SUMPRODUCT($C$94:$C$98,--(AM94:AM98&lt;&gt;""))=0,"",SUMPRODUCT($C$94:$C$98,AM94:AM98)/SUMPRODUCT($C$94:$C$98,--(AM94:AM98&lt;&gt;""))*$C139))</f>
        <v/>
      </c>
      <c r="AN139">
        <f>IF(AN$5&lt;&gt;1,"",IF(SUMPRODUCT($C$94:$C$98,--(AN94:AN98&lt;&gt;""))=0,"",SUMPRODUCT($C$94:$C$98,AN94:AN98)/SUMPRODUCT($C$94:$C$98,--(AN94:AN98&lt;&gt;""))*$C139))</f>
        <v/>
      </c>
      <c r="AO139">
        <f>IF(AO$5&lt;&gt;1,"",IF(SUMPRODUCT($C$94:$C$98,--(AO94:AO98&lt;&gt;""))=0,"",SUMPRODUCT($C$94:$C$98,AO94:AO98)/SUMPRODUCT($C$94:$C$98,--(AO94:AO98&lt;&gt;""))*$C139))</f>
        <v/>
      </c>
      <c r="AP139">
        <f>IF(AP$5&lt;&gt;1,"",IF(SUMPRODUCT($C$94:$C$98,--(AP94:AP98&lt;&gt;""))=0,"",SUMPRODUCT($C$94:$C$98,AP94:AP98)/SUMPRODUCT($C$94:$C$98,--(AP94:AP98&lt;&gt;""))*$C139))</f>
        <v/>
      </c>
      <c r="AQ139">
        <f>IF(AQ$5&lt;&gt;1,"",IF(SUMPRODUCT($C$94:$C$98,--(AQ94:AQ98&lt;&gt;""))=0,"",SUMPRODUCT($C$94:$C$98,AQ94:AQ98)/SUMPRODUCT($C$94:$C$98,--(AQ94:AQ98&lt;&gt;""))*$C139))</f>
        <v/>
      </c>
      <c r="AR139">
        <f>IF(AR$5&lt;&gt;1,"",IF(SUMPRODUCT($C$94:$C$98,--(AR94:AR98&lt;&gt;""))=0,"",SUMPRODUCT($C$94:$C$98,AR94:AR98)/SUMPRODUCT($C$94:$C$98,--(AR94:AR98&lt;&gt;""))*$C139))</f>
        <v/>
      </c>
      <c r="AS139">
        <f>IF(AS$5&lt;&gt;1,"",IF(SUMPRODUCT($C$94:$C$98,--(AS94:AS98&lt;&gt;""))=0,"",SUMPRODUCT($C$94:$C$98,AS94:AS98)/SUMPRODUCT($C$94:$C$98,--(AS94:AS98&lt;&gt;""))*$C139))</f>
        <v/>
      </c>
      <c r="AT139">
        <f>IF(AT$5&lt;&gt;1,"",IF(SUMPRODUCT($C$94:$C$98,--(AT94:AT98&lt;&gt;""))=0,"",SUMPRODUCT($C$94:$C$98,AT94:AT98)/SUMPRODUCT($C$94:$C$98,--(AT94:AT98&lt;&gt;""))*$C139))</f>
        <v/>
      </c>
      <c r="AU139">
        <f>IF(AU$5&lt;&gt;1,"",IF(SUMPRODUCT($C$94:$C$98,--(AU94:AU98&lt;&gt;""))=0,"",SUMPRODUCT($C$94:$C$98,AU94:AU98)/SUMPRODUCT($C$94:$C$98,--(AU94:AU98&lt;&gt;""))*$C139))</f>
        <v/>
      </c>
      <c r="AV139">
        <f>IF(AV$5&lt;&gt;1,"",IF(SUMPRODUCT($C$94:$C$98,--(AV94:AV98&lt;&gt;""))=0,"",SUMPRODUCT($C$94:$C$98,AV94:AV98)/SUMPRODUCT($C$94:$C$98,--(AV94:AV98&lt;&gt;""))*$C139))</f>
        <v/>
      </c>
      <c r="AW139">
        <f>IF(AW$5&lt;&gt;1,"",IF(SUMPRODUCT($C$94:$C$98,--(AW94:AW98&lt;&gt;""))=0,"",SUMPRODUCT($C$94:$C$98,AW94:AW98)/SUMPRODUCT($C$94:$C$98,--(AW94:AW98&lt;&gt;""))*$C139))</f>
        <v/>
      </c>
      <c r="AX139">
        <f>IF(AX$5&lt;&gt;1,"",IF(SUMPRODUCT($C$94:$C$98,--(AX94:AX98&lt;&gt;""))=0,"",SUMPRODUCT($C$94:$C$98,AX94:AX98)/SUMPRODUCT($C$94:$C$98,--(AX94:AX98&lt;&gt;""))*$C139))</f>
        <v/>
      </c>
      <c r="AY139">
        <f>IF(AY$5&lt;&gt;1,"",IF(SUMPRODUCT($C$94:$C$98,--(AY94:AY98&lt;&gt;""))=0,"",SUMPRODUCT($C$94:$C$98,AY94:AY98)/SUMPRODUCT($C$94:$C$98,--(AY94:AY98&lt;&gt;""))*$C139))</f>
        <v/>
      </c>
      <c r="AZ139">
        <f>IF(AZ$5&lt;&gt;1,"",IF(SUMPRODUCT($C$94:$C$98,--(AZ94:AZ98&lt;&gt;""))=0,"",SUMPRODUCT($C$94:$C$98,AZ94:AZ98)/SUMPRODUCT($C$94:$C$98,--(AZ94:AZ98&lt;&gt;""))*$C139))</f>
        <v/>
      </c>
      <c r="BA139">
        <f>IF(BA$5&lt;&gt;1,"",IF(SUMPRODUCT($C$94:$C$98,--(BA94:BA98&lt;&gt;""))=0,"",SUMPRODUCT($C$94:$C$98,BA94:BA98)/SUMPRODUCT($C$94:$C$98,--(BA94:BA98&lt;&gt;""))*$C139))</f>
        <v/>
      </c>
      <c r="BB139">
        <f>IF(BB$5&lt;&gt;1,"",IF(SUMPRODUCT($C$94:$C$98,--(BB94:BB98&lt;&gt;""))=0,"",SUMPRODUCT($C$94:$C$98,BB94:BB98)/SUMPRODUCT($C$94:$C$98,--(BB94:BB98&lt;&gt;""))*$C139))</f>
        <v/>
      </c>
    </row>
    <row r="140">
      <c r="A140" s="16" t="inlineStr">
        <is>
          <t>P3</t>
        </is>
      </c>
      <c r="B140" s="16" t="inlineStr">
        <is>
          <t>노사협력 프로그램</t>
        </is>
      </c>
      <c r="C140" s="41">
        <f>SUM($C$99:$C$103)</f>
        <v/>
      </c>
      <c r="E140">
        <f>IF(E$5&lt;&gt;1,"",IF(SUMPRODUCT($C$99:$C$103,--(E99:E103&lt;&gt;""))=0,"",SUMPRODUCT($C$99:$C$103,E99:E103)/SUMPRODUCT($C$99:$C$103,--(E99:E103&lt;&gt;""))*$C140))</f>
        <v/>
      </c>
      <c r="F140">
        <f>IF(F$5&lt;&gt;1,"",IF(SUMPRODUCT($C$99:$C$103,--(F99:F103&lt;&gt;""))=0,"",SUMPRODUCT($C$99:$C$103,F99:F103)/SUMPRODUCT($C$99:$C$103,--(F99:F103&lt;&gt;""))*$C140))</f>
        <v/>
      </c>
      <c r="G140">
        <f>IF(G$5&lt;&gt;1,"",IF(SUMPRODUCT($C$99:$C$103,--(G99:G103&lt;&gt;""))=0,"",SUMPRODUCT($C$99:$C$103,G99:G103)/SUMPRODUCT($C$99:$C$103,--(G99:G103&lt;&gt;""))*$C140))</f>
        <v/>
      </c>
      <c r="H140">
        <f>IF(H$5&lt;&gt;1,"",IF(SUMPRODUCT($C$99:$C$103,--(H99:H103&lt;&gt;""))=0,"",SUMPRODUCT($C$99:$C$103,H99:H103)/SUMPRODUCT($C$99:$C$103,--(H99:H103&lt;&gt;""))*$C140))</f>
        <v/>
      </c>
      <c r="I140">
        <f>IF(I$5&lt;&gt;1,"",IF(SUMPRODUCT($C$99:$C$103,--(I99:I103&lt;&gt;""))=0,"",SUMPRODUCT($C$99:$C$103,I99:I103)/SUMPRODUCT($C$99:$C$103,--(I99:I103&lt;&gt;""))*$C140))</f>
        <v/>
      </c>
      <c r="J140">
        <f>IF(J$5&lt;&gt;1,"",IF(SUMPRODUCT($C$99:$C$103,--(J99:J103&lt;&gt;""))=0,"",SUMPRODUCT($C$99:$C$103,J99:J103)/SUMPRODUCT($C$99:$C$103,--(J99:J103&lt;&gt;""))*$C140))</f>
        <v/>
      </c>
      <c r="K140">
        <f>IF(K$5&lt;&gt;1,"",IF(SUMPRODUCT($C$99:$C$103,--(K99:K103&lt;&gt;""))=0,"",SUMPRODUCT($C$99:$C$103,K99:K103)/SUMPRODUCT($C$99:$C$103,--(K99:K103&lt;&gt;""))*$C140))</f>
        <v/>
      </c>
      <c r="L140">
        <f>IF(L$5&lt;&gt;1,"",IF(SUMPRODUCT($C$99:$C$103,--(L99:L103&lt;&gt;""))=0,"",SUMPRODUCT($C$99:$C$103,L99:L103)/SUMPRODUCT($C$99:$C$103,--(L99:L103&lt;&gt;""))*$C140))</f>
        <v/>
      </c>
      <c r="M140">
        <f>IF(M$5&lt;&gt;1,"",IF(SUMPRODUCT($C$99:$C$103,--(M99:M103&lt;&gt;""))=0,"",SUMPRODUCT($C$99:$C$103,M99:M103)/SUMPRODUCT($C$99:$C$103,--(M99:M103&lt;&gt;""))*$C140))</f>
        <v/>
      </c>
      <c r="N140">
        <f>IF(N$5&lt;&gt;1,"",IF(SUMPRODUCT($C$99:$C$103,--(N99:N103&lt;&gt;""))=0,"",SUMPRODUCT($C$99:$C$103,N99:N103)/SUMPRODUCT($C$99:$C$103,--(N99:N103&lt;&gt;""))*$C140))</f>
        <v/>
      </c>
      <c r="O140">
        <f>IF(O$5&lt;&gt;1,"",IF(SUMPRODUCT($C$99:$C$103,--(O99:O103&lt;&gt;""))=0,"",SUMPRODUCT($C$99:$C$103,O99:O103)/SUMPRODUCT($C$99:$C$103,--(O99:O103&lt;&gt;""))*$C140))</f>
        <v/>
      </c>
      <c r="P140">
        <f>IF(P$5&lt;&gt;1,"",IF(SUMPRODUCT($C$99:$C$103,--(P99:P103&lt;&gt;""))=0,"",SUMPRODUCT($C$99:$C$103,P99:P103)/SUMPRODUCT($C$99:$C$103,--(P99:P103&lt;&gt;""))*$C140))</f>
        <v/>
      </c>
      <c r="Q140">
        <f>IF(Q$5&lt;&gt;1,"",IF(SUMPRODUCT($C$99:$C$103,--(Q99:Q103&lt;&gt;""))=0,"",SUMPRODUCT($C$99:$C$103,Q99:Q103)/SUMPRODUCT($C$99:$C$103,--(Q99:Q103&lt;&gt;""))*$C140))</f>
        <v/>
      </c>
      <c r="R140">
        <f>IF(R$5&lt;&gt;1,"",IF(SUMPRODUCT($C$99:$C$103,--(R99:R103&lt;&gt;""))=0,"",SUMPRODUCT($C$99:$C$103,R99:R103)/SUMPRODUCT($C$99:$C$103,--(R99:R103&lt;&gt;""))*$C140))</f>
        <v/>
      </c>
      <c r="S140">
        <f>IF(S$5&lt;&gt;1,"",IF(SUMPRODUCT($C$99:$C$103,--(S99:S103&lt;&gt;""))=0,"",SUMPRODUCT($C$99:$C$103,S99:S103)/SUMPRODUCT($C$99:$C$103,--(S99:S103&lt;&gt;""))*$C140))</f>
        <v/>
      </c>
      <c r="T140">
        <f>IF(T$5&lt;&gt;1,"",IF(SUMPRODUCT($C$99:$C$103,--(T99:T103&lt;&gt;""))=0,"",SUMPRODUCT($C$99:$C$103,T99:T103)/SUMPRODUCT($C$99:$C$103,--(T99:T103&lt;&gt;""))*$C140))</f>
        <v/>
      </c>
      <c r="U140">
        <f>IF(U$5&lt;&gt;1,"",IF(SUMPRODUCT($C$99:$C$103,--(U99:U103&lt;&gt;""))=0,"",SUMPRODUCT($C$99:$C$103,U99:U103)/SUMPRODUCT($C$99:$C$103,--(U99:U103&lt;&gt;""))*$C140))</f>
        <v/>
      </c>
      <c r="V140">
        <f>IF(V$5&lt;&gt;1,"",IF(SUMPRODUCT($C$99:$C$103,--(V99:V103&lt;&gt;""))=0,"",SUMPRODUCT($C$99:$C$103,V99:V103)/SUMPRODUCT($C$99:$C$103,--(V99:V103&lt;&gt;""))*$C140))</f>
        <v/>
      </c>
      <c r="W140">
        <f>IF(W$5&lt;&gt;1,"",IF(SUMPRODUCT($C$99:$C$103,--(W99:W103&lt;&gt;""))=0,"",SUMPRODUCT($C$99:$C$103,W99:W103)/SUMPRODUCT($C$99:$C$103,--(W99:W103&lt;&gt;""))*$C140))</f>
        <v/>
      </c>
      <c r="X140">
        <f>IF(X$5&lt;&gt;1,"",IF(SUMPRODUCT($C$99:$C$103,--(X99:X103&lt;&gt;""))=0,"",SUMPRODUCT($C$99:$C$103,X99:X103)/SUMPRODUCT($C$99:$C$103,--(X99:X103&lt;&gt;""))*$C140))</f>
        <v/>
      </c>
      <c r="Y140">
        <f>IF(Y$5&lt;&gt;1,"",IF(SUMPRODUCT($C$99:$C$103,--(Y99:Y103&lt;&gt;""))=0,"",SUMPRODUCT($C$99:$C$103,Y99:Y103)/SUMPRODUCT($C$99:$C$103,--(Y99:Y103&lt;&gt;""))*$C140))</f>
        <v/>
      </c>
      <c r="Z140">
        <f>IF(Z$5&lt;&gt;1,"",IF(SUMPRODUCT($C$99:$C$103,--(Z99:Z103&lt;&gt;""))=0,"",SUMPRODUCT($C$99:$C$103,Z99:Z103)/SUMPRODUCT($C$99:$C$103,--(Z99:Z103&lt;&gt;""))*$C140))</f>
        <v/>
      </c>
      <c r="AA140">
        <f>IF(AA$5&lt;&gt;1,"",IF(SUMPRODUCT($C$99:$C$103,--(AA99:AA103&lt;&gt;""))=0,"",SUMPRODUCT($C$99:$C$103,AA99:AA103)/SUMPRODUCT($C$99:$C$103,--(AA99:AA103&lt;&gt;""))*$C140))</f>
        <v/>
      </c>
      <c r="AB140">
        <f>IF(AB$5&lt;&gt;1,"",IF(SUMPRODUCT($C$99:$C$103,--(AB99:AB103&lt;&gt;""))=0,"",SUMPRODUCT($C$99:$C$103,AB99:AB103)/SUMPRODUCT($C$99:$C$103,--(AB99:AB103&lt;&gt;""))*$C140))</f>
        <v/>
      </c>
      <c r="AC140">
        <f>IF(AC$5&lt;&gt;1,"",IF(SUMPRODUCT($C$99:$C$103,--(AC99:AC103&lt;&gt;""))=0,"",SUMPRODUCT($C$99:$C$103,AC99:AC103)/SUMPRODUCT($C$99:$C$103,--(AC99:AC103&lt;&gt;""))*$C140))</f>
        <v/>
      </c>
      <c r="AD140">
        <f>IF(AD$5&lt;&gt;1,"",IF(SUMPRODUCT($C$99:$C$103,--(AD99:AD103&lt;&gt;""))=0,"",SUMPRODUCT($C$99:$C$103,AD99:AD103)/SUMPRODUCT($C$99:$C$103,--(AD99:AD103&lt;&gt;""))*$C140))</f>
        <v/>
      </c>
      <c r="AE140">
        <f>IF(AE$5&lt;&gt;1,"",IF(SUMPRODUCT($C$99:$C$103,--(AE99:AE103&lt;&gt;""))=0,"",SUMPRODUCT($C$99:$C$103,AE99:AE103)/SUMPRODUCT($C$99:$C$103,--(AE99:AE103&lt;&gt;""))*$C140))</f>
        <v/>
      </c>
      <c r="AF140">
        <f>IF(AF$5&lt;&gt;1,"",IF(SUMPRODUCT($C$99:$C$103,--(AF99:AF103&lt;&gt;""))=0,"",SUMPRODUCT($C$99:$C$103,AF99:AF103)/SUMPRODUCT($C$99:$C$103,--(AF99:AF103&lt;&gt;""))*$C140))</f>
        <v/>
      </c>
      <c r="AG140">
        <f>IF(AG$5&lt;&gt;1,"",IF(SUMPRODUCT($C$99:$C$103,--(AG99:AG103&lt;&gt;""))=0,"",SUMPRODUCT($C$99:$C$103,AG99:AG103)/SUMPRODUCT($C$99:$C$103,--(AG99:AG103&lt;&gt;""))*$C140))</f>
        <v/>
      </c>
      <c r="AH140">
        <f>IF(AH$5&lt;&gt;1,"",IF(SUMPRODUCT($C$99:$C$103,--(AH99:AH103&lt;&gt;""))=0,"",SUMPRODUCT($C$99:$C$103,AH99:AH103)/SUMPRODUCT($C$99:$C$103,--(AH99:AH103&lt;&gt;""))*$C140))</f>
        <v/>
      </c>
      <c r="AI140">
        <f>IF(AI$5&lt;&gt;1,"",IF(SUMPRODUCT($C$99:$C$103,--(AI99:AI103&lt;&gt;""))=0,"",SUMPRODUCT($C$99:$C$103,AI99:AI103)/SUMPRODUCT($C$99:$C$103,--(AI99:AI103&lt;&gt;""))*$C140))</f>
        <v/>
      </c>
      <c r="AJ140">
        <f>IF(AJ$5&lt;&gt;1,"",IF(SUMPRODUCT($C$99:$C$103,--(AJ99:AJ103&lt;&gt;""))=0,"",SUMPRODUCT($C$99:$C$103,AJ99:AJ103)/SUMPRODUCT($C$99:$C$103,--(AJ99:AJ103&lt;&gt;""))*$C140))</f>
        <v/>
      </c>
      <c r="AK140">
        <f>IF(AK$5&lt;&gt;1,"",IF(SUMPRODUCT($C$99:$C$103,--(AK99:AK103&lt;&gt;""))=0,"",SUMPRODUCT($C$99:$C$103,AK99:AK103)/SUMPRODUCT($C$99:$C$103,--(AK99:AK103&lt;&gt;""))*$C140))</f>
        <v/>
      </c>
      <c r="AL140">
        <f>IF(AL$5&lt;&gt;1,"",IF(SUMPRODUCT($C$99:$C$103,--(AL99:AL103&lt;&gt;""))=0,"",SUMPRODUCT($C$99:$C$103,AL99:AL103)/SUMPRODUCT($C$99:$C$103,--(AL99:AL103&lt;&gt;""))*$C140))</f>
        <v/>
      </c>
      <c r="AM140">
        <f>IF(AM$5&lt;&gt;1,"",IF(SUMPRODUCT($C$99:$C$103,--(AM99:AM103&lt;&gt;""))=0,"",SUMPRODUCT($C$99:$C$103,AM99:AM103)/SUMPRODUCT($C$99:$C$103,--(AM99:AM103&lt;&gt;""))*$C140))</f>
        <v/>
      </c>
      <c r="AN140">
        <f>IF(AN$5&lt;&gt;1,"",IF(SUMPRODUCT($C$99:$C$103,--(AN99:AN103&lt;&gt;""))=0,"",SUMPRODUCT($C$99:$C$103,AN99:AN103)/SUMPRODUCT($C$99:$C$103,--(AN99:AN103&lt;&gt;""))*$C140))</f>
        <v/>
      </c>
      <c r="AO140">
        <f>IF(AO$5&lt;&gt;1,"",IF(SUMPRODUCT($C$99:$C$103,--(AO99:AO103&lt;&gt;""))=0,"",SUMPRODUCT($C$99:$C$103,AO99:AO103)/SUMPRODUCT($C$99:$C$103,--(AO99:AO103&lt;&gt;""))*$C140))</f>
        <v/>
      </c>
      <c r="AP140">
        <f>IF(AP$5&lt;&gt;1,"",IF(SUMPRODUCT($C$99:$C$103,--(AP99:AP103&lt;&gt;""))=0,"",SUMPRODUCT($C$99:$C$103,AP99:AP103)/SUMPRODUCT($C$99:$C$103,--(AP99:AP103&lt;&gt;""))*$C140))</f>
        <v/>
      </c>
      <c r="AQ140">
        <f>IF(AQ$5&lt;&gt;1,"",IF(SUMPRODUCT($C$99:$C$103,--(AQ99:AQ103&lt;&gt;""))=0,"",SUMPRODUCT($C$99:$C$103,AQ99:AQ103)/SUMPRODUCT($C$99:$C$103,--(AQ99:AQ103&lt;&gt;""))*$C140))</f>
        <v/>
      </c>
      <c r="AR140">
        <f>IF(AR$5&lt;&gt;1,"",IF(SUMPRODUCT($C$99:$C$103,--(AR99:AR103&lt;&gt;""))=0,"",SUMPRODUCT($C$99:$C$103,AR99:AR103)/SUMPRODUCT($C$99:$C$103,--(AR99:AR103&lt;&gt;""))*$C140))</f>
        <v/>
      </c>
      <c r="AS140">
        <f>IF(AS$5&lt;&gt;1,"",IF(SUMPRODUCT($C$99:$C$103,--(AS99:AS103&lt;&gt;""))=0,"",SUMPRODUCT($C$99:$C$103,AS99:AS103)/SUMPRODUCT($C$99:$C$103,--(AS99:AS103&lt;&gt;""))*$C140))</f>
        <v/>
      </c>
      <c r="AT140">
        <f>IF(AT$5&lt;&gt;1,"",IF(SUMPRODUCT($C$99:$C$103,--(AT99:AT103&lt;&gt;""))=0,"",SUMPRODUCT($C$99:$C$103,AT99:AT103)/SUMPRODUCT($C$99:$C$103,--(AT99:AT103&lt;&gt;""))*$C140))</f>
        <v/>
      </c>
      <c r="AU140">
        <f>IF(AU$5&lt;&gt;1,"",IF(SUMPRODUCT($C$99:$C$103,--(AU99:AU103&lt;&gt;""))=0,"",SUMPRODUCT($C$99:$C$103,AU99:AU103)/SUMPRODUCT($C$99:$C$103,--(AU99:AU103&lt;&gt;""))*$C140))</f>
        <v/>
      </c>
      <c r="AV140">
        <f>IF(AV$5&lt;&gt;1,"",IF(SUMPRODUCT($C$99:$C$103,--(AV99:AV103&lt;&gt;""))=0,"",SUMPRODUCT($C$99:$C$103,AV99:AV103)/SUMPRODUCT($C$99:$C$103,--(AV99:AV103&lt;&gt;""))*$C140))</f>
        <v/>
      </c>
      <c r="AW140">
        <f>IF(AW$5&lt;&gt;1,"",IF(SUMPRODUCT($C$99:$C$103,--(AW99:AW103&lt;&gt;""))=0,"",SUMPRODUCT($C$99:$C$103,AW99:AW103)/SUMPRODUCT($C$99:$C$103,--(AW99:AW103&lt;&gt;""))*$C140))</f>
        <v/>
      </c>
      <c r="AX140">
        <f>IF(AX$5&lt;&gt;1,"",IF(SUMPRODUCT($C$99:$C$103,--(AX99:AX103&lt;&gt;""))=0,"",SUMPRODUCT($C$99:$C$103,AX99:AX103)/SUMPRODUCT($C$99:$C$103,--(AX99:AX103&lt;&gt;""))*$C140))</f>
        <v/>
      </c>
      <c r="AY140">
        <f>IF(AY$5&lt;&gt;1,"",IF(SUMPRODUCT($C$99:$C$103,--(AY99:AY103&lt;&gt;""))=0,"",SUMPRODUCT($C$99:$C$103,AY99:AY103)/SUMPRODUCT($C$99:$C$103,--(AY99:AY103&lt;&gt;""))*$C140))</f>
        <v/>
      </c>
      <c r="AZ140">
        <f>IF(AZ$5&lt;&gt;1,"",IF(SUMPRODUCT($C$99:$C$103,--(AZ99:AZ103&lt;&gt;""))=0,"",SUMPRODUCT($C$99:$C$103,AZ99:AZ103)/SUMPRODUCT($C$99:$C$103,--(AZ99:AZ103&lt;&gt;""))*$C140))</f>
        <v/>
      </c>
      <c r="BA140">
        <f>IF(BA$5&lt;&gt;1,"",IF(SUMPRODUCT($C$99:$C$103,--(BA99:BA103&lt;&gt;""))=0,"",SUMPRODUCT($C$99:$C$103,BA99:BA103)/SUMPRODUCT($C$99:$C$103,--(BA99:BA103&lt;&gt;""))*$C140))</f>
        <v/>
      </c>
      <c r="BB140">
        <f>IF(BB$5&lt;&gt;1,"",IF(SUMPRODUCT($C$99:$C$103,--(BB99:BB103&lt;&gt;""))=0,"",SUMPRODUCT($C$99:$C$103,BB99:BB103)/SUMPRODUCT($C$99:$C$103,--(BB99:BB103&lt;&gt;""))*$C140))</f>
        <v/>
      </c>
    </row>
    <row r="141">
      <c r="A141" s="16" t="inlineStr">
        <is>
          <t>P4</t>
        </is>
      </c>
      <c r="B141" s="16" t="inlineStr">
        <is>
          <t>노사갈등(미발생)</t>
        </is>
      </c>
      <c r="C141" s="41">
        <f>SUM($C$104:$C$107)</f>
        <v/>
      </c>
      <c r="E141">
        <f>IF(E$5&lt;&gt;1,"",IF(SUMPRODUCT($C$104:$C$107,--(E104:E107&lt;&gt;""))=0,"",SUMPRODUCT($C$104:$C$107,E104:E107)/SUMPRODUCT($C$104:$C$107,--(E104:E107&lt;&gt;""))*$C141))</f>
        <v/>
      </c>
      <c r="F141">
        <f>IF(F$5&lt;&gt;1,"",IF(SUMPRODUCT($C$104:$C$107,--(F104:F107&lt;&gt;""))=0,"",SUMPRODUCT($C$104:$C$107,F104:F107)/SUMPRODUCT($C$104:$C$107,--(F104:F107&lt;&gt;""))*$C141))</f>
        <v/>
      </c>
      <c r="G141">
        <f>IF(G$5&lt;&gt;1,"",IF(SUMPRODUCT($C$104:$C$107,--(G104:G107&lt;&gt;""))=0,"",SUMPRODUCT($C$104:$C$107,G104:G107)/SUMPRODUCT($C$104:$C$107,--(G104:G107&lt;&gt;""))*$C141))</f>
        <v/>
      </c>
      <c r="H141">
        <f>IF(H$5&lt;&gt;1,"",IF(SUMPRODUCT($C$104:$C$107,--(H104:H107&lt;&gt;""))=0,"",SUMPRODUCT($C$104:$C$107,H104:H107)/SUMPRODUCT($C$104:$C$107,--(H104:H107&lt;&gt;""))*$C141))</f>
        <v/>
      </c>
      <c r="I141">
        <f>IF(I$5&lt;&gt;1,"",IF(SUMPRODUCT($C$104:$C$107,--(I104:I107&lt;&gt;""))=0,"",SUMPRODUCT($C$104:$C$107,I104:I107)/SUMPRODUCT($C$104:$C$107,--(I104:I107&lt;&gt;""))*$C141))</f>
        <v/>
      </c>
      <c r="J141">
        <f>IF(J$5&lt;&gt;1,"",IF(SUMPRODUCT($C$104:$C$107,--(J104:J107&lt;&gt;""))=0,"",SUMPRODUCT($C$104:$C$107,J104:J107)/SUMPRODUCT($C$104:$C$107,--(J104:J107&lt;&gt;""))*$C141))</f>
        <v/>
      </c>
      <c r="K141">
        <f>IF(K$5&lt;&gt;1,"",IF(SUMPRODUCT($C$104:$C$107,--(K104:K107&lt;&gt;""))=0,"",SUMPRODUCT($C$104:$C$107,K104:K107)/SUMPRODUCT($C$104:$C$107,--(K104:K107&lt;&gt;""))*$C141))</f>
        <v/>
      </c>
      <c r="L141">
        <f>IF(L$5&lt;&gt;1,"",IF(SUMPRODUCT($C$104:$C$107,--(L104:L107&lt;&gt;""))=0,"",SUMPRODUCT($C$104:$C$107,L104:L107)/SUMPRODUCT($C$104:$C$107,--(L104:L107&lt;&gt;""))*$C141))</f>
        <v/>
      </c>
      <c r="M141">
        <f>IF(M$5&lt;&gt;1,"",IF(SUMPRODUCT($C$104:$C$107,--(M104:M107&lt;&gt;""))=0,"",SUMPRODUCT($C$104:$C$107,M104:M107)/SUMPRODUCT($C$104:$C$107,--(M104:M107&lt;&gt;""))*$C141))</f>
        <v/>
      </c>
      <c r="N141">
        <f>IF(N$5&lt;&gt;1,"",IF(SUMPRODUCT($C$104:$C$107,--(N104:N107&lt;&gt;""))=0,"",SUMPRODUCT($C$104:$C$107,N104:N107)/SUMPRODUCT($C$104:$C$107,--(N104:N107&lt;&gt;""))*$C141))</f>
        <v/>
      </c>
      <c r="O141">
        <f>IF(O$5&lt;&gt;1,"",IF(SUMPRODUCT($C$104:$C$107,--(O104:O107&lt;&gt;""))=0,"",SUMPRODUCT($C$104:$C$107,O104:O107)/SUMPRODUCT($C$104:$C$107,--(O104:O107&lt;&gt;""))*$C141))</f>
        <v/>
      </c>
      <c r="P141">
        <f>IF(P$5&lt;&gt;1,"",IF(SUMPRODUCT($C$104:$C$107,--(P104:P107&lt;&gt;""))=0,"",SUMPRODUCT($C$104:$C$107,P104:P107)/SUMPRODUCT($C$104:$C$107,--(P104:P107&lt;&gt;""))*$C141))</f>
        <v/>
      </c>
      <c r="Q141">
        <f>IF(Q$5&lt;&gt;1,"",IF(SUMPRODUCT($C$104:$C$107,--(Q104:Q107&lt;&gt;""))=0,"",SUMPRODUCT($C$104:$C$107,Q104:Q107)/SUMPRODUCT($C$104:$C$107,--(Q104:Q107&lt;&gt;""))*$C141))</f>
        <v/>
      </c>
      <c r="R141">
        <f>IF(R$5&lt;&gt;1,"",IF(SUMPRODUCT($C$104:$C$107,--(R104:R107&lt;&gt;""))=0,"",SUMPRODUCT($C$104:$C$107,R104:R107)/SUMPRODUCT($C$104:$C$107,--(R104:R107&lt;&gt;""))*$C141))</f>
        <v/>
      </c>
      <c r="S141">
        <f>IF(S$5&lt;&gt;1,"",IF(SUMPRODUCT($C$104:$C$107,--(S104:S107&lt;&gt;""))=0,"",SUMPRODUCT($C$104:$C$107,S104:S107)/SUMPRODUCT($C$104:$C$107,--(S104:S107&lt;&gt;""))*$C141))</f>
        <v/>
      </c>
      <c r="T141">
        <f>IF(T$5&lt;&gt;1,"",IF(SUMPRODUCT($C$104:$C$107,--(T104:T107&lt;&gt;""))=0,"",SUMPRODUCT($C$104:$C$107,T104:T107)/SUMPRODUCT($C$104:$C$107,--(T104:T107&lt;&gt;""))*$C141))</f>
        <v/>
      </c>
      <c r="U141">
        <f>IF(U$5&lt;&gt;1,"",IF(SUMPRODUCT($C$104:$C$107,--(U104:U107&lt;&gt;""))=0,"",SUMPRODUCT($C$104:$C$107,U104:U107)/SUMPRODUCT($C$104:$C$107,--(U104:U107&lt;&gt;""))*$C141))</f>
        <v/>
      </c>
      <c r="V141">
        <f>IF(V$5&lt;&gt;1,"",IF(SUMPRODUCT($C$104:$C$107,--(V104:V107&lt;&gt;""))=0,"",SUMPRODUCT($C$104:$C$107,V104:V107)/SUMPRODUCT($C$104:$C$107,--(V104:V107&lt;&gt;""))*$C141))</f>
        <v/>
      </c>
      <c r="W141">
        <f>IF(W$5&lt;&gt;1,"",IF(SUMPRODUCT($C$104:$C$107,--(W104:W107&lt;&gt;""))=0,"",SUMPRODUCT($C$104:$C$107,W104:W107)/SUMPRODUCT($C$104:$C$107,--(W104:W107&lt;&gt;""))*$C141))</f>
        <v/>
      </c>
      <c r="X141">
        <f>IF(X$5&lt;&gt;1,"",IF(SUMPRODUCT($C$104:$C$107,--(X104:X107&lt;&gt;""))=0,"",SUMPRODUCT($C$104:$C$107,X104:X107)/SUMPRODUCT($C$104:$C$107,--(X104:X107&lt;&gt;""))*$C141))</f>
        <v/>
      </c>
      <c r="Y141">
        <f>IF(Y$5&lt;&gt;1,"",IF(SUMPRODUCT($C$104:$C$107,--(Y104:Y107&lt;&gt;""))=0,"",SUMPRODUCT($C$104:$C$107,Y104:Y107)/SUMPRODUCT($C$104:$C$107,--(Y104:Y107&lt;&gt;""))*$C141))</f>
        <v/>
      </c>
      <c r="Z141">
        <f>IF(Z$5&lt;&gt;1,"",IF(SUMPRODUCT($C$104:$C$107,--(Z104:Z107&lt;&gt;""))=0,"",SUMPRODUCT($C$104:$C$107,Z104:Z107)/SUMPRODUCT($C$104:$C$107,--(Z104:Z107&lt;&gt;""))*$C141))</f>
        <v/>
      </c>
      <c r="AA141">
        <f>IF(AA$5&lt;&gt;1,"",IF(SUMPRODUCT($C$104:$C$107,--(AA104:AA107&lt;&gt;""))=0,"",SUMPRODUCT($C$104:$C$107,AA104:AA107)/SUMPRODUCT($C$104:$C$107,--(AA104:AA107&lt;&gt;""))*$C141))</f>
        <v/>
      </c>
      <c r="AB141">
        <f>IF(AB$5&lt;&gt;1,"",IF(SUMPRODUCT($C$104:$C$107,--(AB104:AB107&lt;&gt;""))=0,"",SUMPRODUCT($C$104:$C$107,AB104:AB107)/SUMPRODUCT($C$104:$C$107,--(AB104:AB107&lt;&gt;""))*$C141))</f>
        <v/>
      </c>
      <c r="AC141">
        <f>IF(AC$5&lt;&gt;1,"",IF(SUMPRODUCT($C$104:$C$107,--(AC104:AC107&lt;&gt;""))=0,"",SUMPRODUCT($C$104:$C$107,AC104:AC107)/SUMPRODUCT($C$104:$C$107,--(AC104:AC107&lt;&gt;""))*$C141))</f>
        <v/>
      </c>
      <c r="AD141">
        <f>IF(AD$5&lt;&gt;1,"",IF(SUMPRODUCT($C$104:$C$107,--(AD104:AD107&lt;&gt;""))=0,"",SUMPRODUCT($C$104:$C$107,AD104:AD107)/SUMPRODUCT($C$104:$C$107,--(AD104:AD107&lt;&gt;""))*$C141))</f>
        <v/>
      </c>
      <c r="AE141">
        <f>IF(AE$5&lt;&gt;1,"",IF(SUMPRODUCT($C$104:$C$107,--(AE104:AE107&lt;&gt;""))=0,"",SUMPRODUCT($C$104:$C$107,AE104:AE107)/SUMPRODUCT($C$104:$C$107,--(AE104:AE107&lt;&gt;""))*$C141))</f>
        <v/>
      </c>
      <c r="AF141">
        <f>IF(AF$5&lt;&gt;1,"",IF(SUMPRODUCT($C$104:$C$107,--(AF104:AF107&lt;&gt;""))=0,"",SUMPRODUCT($C$104:$C$107,AF104:AF107)/SUMPRODUCT($C$104:$C$107,--(AF104:AF107&lt;&gt;""))*$C141))</f>
        <v/>
      </c>
      <c r="AG141">
        <f>IF(AG$5&lt;&gt;1,"",IF(SUMPRODUCT($C$104:$C$107,--(AG104:AG107&lt;&gt;""))=0,"",SUMPRODUCT($C$104:$C$107,AG104:AG107)/SUMPRODUCT($C$104:$C$107,--(AG104:AG107&lt;&gt;""))*$C141))</f>
        <v/>
      </c>
      <c r="AH141">
        <f>IF(AH$5&lt;&gt;1,"",IF(SUMPRODUCT($C$104:$C$107,--(AH104:AH107&lt;&gt;""))=0,"",SUMPRODUCT($C$104:$C$107,AH104:AH107)/SUMPRODUCT($C$104:$C$107,--(AH104:AH107&lt;&gt;""))*$C141))</f>
        <v/>
      </c>
      <c r="AI141">
        <f>IF(AI$5&lt;&gt;1,"",IF(SUMPRODUCT($C$104:$C$107,--(AI104:AI107&lt;&gt;""))=0,"",SUMPRODUCT($C$104:$C$107,AI104:AI107)/SUMPRODUCT($C$104:$C$107,--(AI104:AI107&lt;&gt;""))*$C141))</f>
        <v/>
      </c>
      <c r="AJ141">
        <f>IF(AJ$5&lt;&gt;1,"",IF(SUMPRODUCT($C$104:$C$107,--(AJ104:AJ107&lt;&gt;""))=0,"",SUMPRODUCT($C$104:$C$107,AJ104:AJ107)/SUMPRODUCT($C$104:$C$107,--(AJ104:AJ107&lt;&gt;""))*$C141))</f>
        <v/>
      </c>
      <c r="AK141">
        <f>IF(AK$5&lt;&gt;1,"",IF(SUMPRODUCT($C$104:$C$107,--(AK104:AK107&lt;&gt;""))=0,"",SUMPRODUCT($C$104:$C$107,AK104:AK107)/SUMPRODUCT($C$104:$C$107,--(AK104:AK107&lt;&gt;""))*$C141))</f>
        <v/>
      </c>
      <c r="AL141">
        <f>IF(AL$5&lt;&gt;1,"",IF(SUMPRODUCT($C$104:$C$107,--(AL104:AL107&lt;&gt;""))=0,"",SUMPRODUCT($C$104:$C$107,AL104:AL107)/SUMPRODUCT($C$104:$C$107,--(AL104:AL107&lt;&gt;""))*$C141))</f>
        <v/>
      </c>
      <c r="AM141">
        <f>IF(AM$5&lt;&gt;1,"",IF(SUMPRODUCT($C$104:$C$107,--(AM104:AM107&lt;&gt;""))=0,"",SUMPRODUCT($C$104:$C$107,AM104:AM107)/SUMPRODUCT($C$104:$C$107,--(AM104:AM107&lt;&gt;""))*$C141))</f>
        <v/>
      </c>
      <c r="AN141">
        <f>IF(AN$5&lt;&gt;1,"",IF(SUMPRODUCT($C$104:$C$107,--(AN104:AN107&lt;&gt;""))=0,"",SUMPRODUCT($C$104:$C$107,AN104:AN107)/SUMPRODUCT($C$104:$C$107,--(AN104:AN107&lt;&gt;""))*$C141))</f>
        <v/>
      </c>
      <c r="AO141">
        <f>IF(AO$5&lt;&gt;1,"",IF(SUMPRODUCT($C$104:$C$107,--(AO104:AO107&lt;&gt;""))=0,"",SUMPRODUCT($C$104:$C$107,AO104:AO107)/SUMPRODUCT($C$104:$C$107,--(AO104:AO107&lt;&gt;""))*$C141))</f>
        <v/>
      </c>
      <c r="AP141">
        <f>IF(AP$5&lt;&gt;1,"",IF(SUMPRODUCT($C$104:$C$107,--(AP104:AP107&lt;&gt;""))=0,"",SUMPRODUCT($C$104:$C$107,AP104:AP107)/SUMPRODUCT($C$104:$C$107,--(AP104:AP107&lt;&gt;""))*$C141))</f>
        <v/>
      </c>
      <c r="AQ141">
        <f>IF(AQ$5&lt;&gt;1,"",IF(SUMPRODUCT($C$104:$C$107,--(AQ104:AQ107&lt;&gt;""))=0,"",SUMPRODUCT($C$104:$C$107,AQ104:AQ107)/SUMPRODUCT($C$104:$C$107,--(AQ104:AQ107&lt;&gt;""))*$C141))</f>
        <v/>
      </c>
      <c r="AR141">
        <f>IF(AR$5&lt;&gt;1,"",IF(SUMPRODUCT($C$104:$C$107,--(AR104:AR107&lt;&gt;""))=0,"",SUMPRODUCT($C$104:$C$107,AR104:AR107)/SUMPRODUCT($C$104:$C$107,--(AR104:AR107&lt;&gt;""))*$C141))</f>
        <v/>
      </c>
      <c r="AS141">
        <f>IF(AS$5&lt;&gt;1,"",IF(SUMPRODUCT($C$104:$C$107,--(AS104:AS107&lt;&gt;""))=0,"",SUMPRODUCT($C$104:$C$107,AS104:AS107)/SUMPRODUCT($C$104:$C$107,--(AS104:AS107&lt;&gt;""))*$C141))</f>
        <v/>
      </c>
      <c r="AT141">
        <f>IF(AT$5&lt;&gt;1,"",IF(SUMPRODUCT($C$104:$C$107,--(AT104:AT107&lt;&gt;""))=0,"",SUMPRODUCT($C$104:$C$107,AT104:AT107)/SUMPRODUCT($C$104:$C$107,--(AT104:AT107&lt;&gt;""))*$C141))</f>
        <v/>
      </c>
      <c r="AU141">
        <f>IF(AU$5&lt;&gt;1,"",IF(SUMPRODUCT($C$104:$C$107,--(AU104:AU107&lt;&gt;""))=0,"",SUMPRODUCT($C$104:$C$107,AU104:AU107)/SUMPRODUCT($C$104:$C$107,--(AU104:AU107&lt;&gt;""))*$C141))</f>
        <v/>
      </c>
      <c r="AV141">
        <f>IF(AV$5&lt;&gt;1,"",IF(SUMPRODUCT($C$104:$C$107,--(AV104:AV107&lt;&gt;""))=0,"",SUMPRODUCT($C$104:$C$107,AV104:AV107)/SUMPRODUCT($C$104:$C$107,--(AV104:AV107&lt;&gt;""))*$C141))</f>
        <v/>
      </c>
      <c r="AW141">
        <f>IF(AW$5&lt;&gt;1,"",IF(SUMPRODUCT($C$104:$C$107,--(AW104:AW107&lt;&gt;""))=0,"",SUMPRODUCT($C$104:$C$107,AW104:AW107)/SUMPRODUCT($C$104:$C$107,--(AW104:AW107&lt;&gt;""))*$C141))</f>
        <v/>
      </c>
      <c r="AX141">
        <f>IF(AX$5&lt;&gt;1,"",IF(SUMPRODUCT($C$104:$C$107,--(AX104:AX107&lt;&gt;""))=0,"",SUMPRODUCT($C$104:$C$107,AX104:AX107)/SUMPRODUCT($C$104:$C$107,--(AX104:AX107&lt;&gt;""))*$C141))</f>
        <v/>
      </c>
      <c r="AY141">
        <f>IF(AY$5&lt;&gt;1,"",IF(SUMPRODUCT($C$104:$C$107,--(AY104:AY107&lt;&gt;""))=0,"",SUMPRODUCT($C$104:$C$107,AY104:AY107)/SUMPRODUCT($C$104:$C$107,--(AY104:AY107&lt;&gt;""))*$C141))</f>
        <v/>
      </c>
      <c r="AZ141">
        <f>IF(AZ$5&lt;&gt;1,"",IF(SUMPRODUCT($C$104:$C$107,--(AZ104:AZ107&lt;&gt;""))=0,"",SUMPRODUCT($C$104:$C$107,AZ104:AZ107)/SUMPRODUCT($C$104:$C$107,--(AZ104:AZ107&lt;&gt;""))*$C141))</f>
        <v/>
      </c>
      <c r="BA141">
        <f>IF(BA$5&lt;&gt;1,"",IF(SUMPRODUCT($C$104:$C$107,--(BA104:BA107&lt;&gt;""))=0,"",SUMPRODUCT($C$104:$C$107,BA104:BA107)/SUMPRODUCT($C$104:$C$107,--(BA104:BA107&lt;&gt;""))*$C141))</f>
        <v/>
      </c>
      <c r="BB141">
        <f>IF(BB$5&lt;&gt;1,"",IF(SUMPRODUCT($C$104:$C$107,--(BB104:BB107&lt;&gt;""))=0,"",SUMPRODUCT($C$104:$C$107,BB104:BB107)/SUMPRODUCT($C$104:$C$107,--(BB104:BB107&lt;&gt;""))*$C141))</f>
        <v/>
      </c>
    </row>
    <row r="142">
      <c r="A142" s="16" t="inlineStr">
        <is>
          <t>P5</t>
        </is>
      </c>
      <c r="B142" s="16" t="inlineStr">
        <is>
          <t>정보공유·의사소통</t>
        </is>
      </c>
      <c r="C142" s="41">
        <f>SUM($C$108:$C$116)</f>
        <v/>
      </c>
      <c r="E142">
        <f>IF(E$5&lt;&gt;1,"",IF(SUMPRODUCT($C$108:$C$116,--(E108:E116&lt;&gt;""))=0,"",SUMPRODUCT($C$108:$C$116,E108:E116)/SUMPRODUCT($C$108:$C$116,--(E108:E116&lt;&gt;""))*$C142))</f>
        <v/>
      </c>
      <c r="F142">
        <f>IF(F$5&lt;&gt;1,"",IF(SUMPRODUCT($C$108:$C$116,--(F108:F116&lt;&gt;""))=0,"",SUMPRODUCT($C$108:$C$116,F108:F116)/SUMPRODUCT($C$108:$C$116,--(F108:F116&lt;&gt;""))*$C142))</f>
        <v/>
      </c>
      <c r="G142">
        <f>IF(G$5&lt;&gt;1,"",IF(SUMPRODUCT($C$108:$C$116,--(G108:G116&lt;&gt;""))=0,"",SUMPRODUCT($C$108:$C$116,G108:G116)/SUMPRODUCT($C$108:$C$116,--(G108:G116&lt;&gt;""))*$C142))</f>
        <v/>
      </c>
      <c r="H142">
        <f>IF(H$5&lt;&gt;1,"",IF(SUMPRODUCT($C$108:$C$116,--(H108:H116&lt;&gt;""))=0,"",SUMPRODUCT($C$108:$C$116,H108:H116)/SUMPRODUCT($C$108:$C$116,--(H108:H116&lt;&gt;""))*$C142))</f>
        <v/>
      </c>
      <c r="I142">
        <f>IF(I$5&lt;&gt;1,"",IF(SUMPRODUCT($C$108:$C$116,--(I108:I116&lt;&gt;""))=0,"",SUMPRODUCT($C$108:$C$116,I108:I116)/SUMPRODUCT($C$108:$C$116,--(I108:I116&lt;&gt;""))*$C142))</f>
        <v/>
      </c>
      <c r="J142">
        <f>IF(J$5&lt;&gt;1,"",IF(SUMPRODUCT($C$108:$C$116,--(J108:J116&lt;&gt;""))=0,"",SUMPRODUCT($C$108:$C$116,J108:J116)/SUMPRODUCT($C$108:$C$116,--(J108:J116&lt;&gt;""))*$C142))</f>
        <v/>
      </c>
      <c r="K142">
        <f>IF(K$5&lt;&gt;1,"",IF(SUMPRODUCT($C$108:$C$116,--(K108:K116&lt;&gt;""))=0,"",SUMPRODUCT($C$108:$C$116,K108:K116)/SUMPRODUCT($C$108:$C$116,--(K108:K116&lt;&gt;""))*$C142))</f>
        <v/>
      </c>
      <c r="L142">
        <f>IF(L$5&lt;&gt;1,"",IF(SUMPRODUCT($C$108:$C$116,--(L108:L116&lt;&gt;""))=0,"",SUMPRODUCT($C$108:$C$116,L108:L116)/SUMPRODUCT($C$108:$C$116,--(L108:L116&lt;&gt;""))*$C142))</f>
        <v/>
      </c>
      <c r="M142">
        <f>IF(M$5&lt;&gt;1,"",IF(SUMPRODUCT($C$108:$C$116,--(M108:M116&lt;&gt;""))=0,"",SUMPRODUCT($C$108:$C$116,M108:M116)/SUMPRODUCT($C$108:$C$116,--(M108:M116&lt;&gt;""))*$C142))</f>
        <v/>
      </c>
      <c r="N142">
        <f>IF(N$5&lt;&gt;1,"",IF(SUMPRODUCT($C$108:$C$116,--(N108:N116&lt;&gt;""))=0,"",SUMPRODUCT($C$108:$C$116,N108:N116)/SUMPRODUCT($C$108:$C$116,--(N108:N116&lt;&gt;""))*$C142))</f>
        <v/>
      </c>
      <c r="O142">
        <f>IF(O$5&lt;&gt;1,"",IF(SUMPRODUCT($C$108:$C$116,--(O108:O116&lt;&gt;""))=0,"",SUMPRODUCT($C$108:$C$116,O108:O116)/SUMPRODUCT($C$108:$C$116,--(O108:O116&lt;&gt;""))*$C142))</f>
        <v/>
      </c>
      <c r="P142">
        <f>IF(P$5&lt;&gt;1,"",IF(SUMPRODUCT($C$108:$C$116,--(P108:P116&lt;&gt;""))=0,"",SUMPRODUCT($C$108:$C$116,P108:P116)/SUMPRODUCT($C$108:$C$116,--(P108:P116&lt;&gt;""))*$C142))</f>
        <v/>
      </c>
      <c r="Q142">
        <f>IF(Q$5&lt;&gt;1,"",IF(SUMPRODUCT($C$108:$C$116,--(Q108:Q116&lt;&gt;""))=0,"",SUMPRODUCT($C$108:$C$116,Q108:Q116)/SUMPRODUCT($C$108:$C$116,--(Q108:Q116&lt;&gt;""))*$C142))</f>
        <v/>
      </c>
      <c r="R142">
        <f>IF(R$5&lt;&gt;1,"",IF(SUMPRODUCT($C$108:$C$116,--(R108:R116&lt;&gt;""))=0,"",SUMPRODUCT($C$108:$C$116,R108:R116)/SUMPRODUCT($C$108:$C$116,--(R108:R116&lt;&gt;""))*$C142))</f>
        <v/>
      </c>
      <c r="S142">
        <f>IF(S$5&lt;&gt;1,"",IF(SUMPRODUCT($C$108:$C$116,--(S108:S116&lt;&gt;""))=0,"",SUMPRODUCT($C$108:$C$116,S108:S116)/SUMPRODUCT($C$108:$C$116,--(S108:S116&lt;&gt;""))*$C142))</f>
        <v/>
      </c>
      <c r="T142">
        <f>IF(T$5&lt;&gt;1,"",IF(SUMPRODUCT($C$108:$C$116,--(T108:T116&lt;&gt;""))=0,"",SUMPRODUCT($C$108:$C$116,T108:T116)/SUMPRODUCT($C$108:$C$116,--(T108:T116&lt;&gt;""))*$C142))</f>
        <v/>
      </c>
      <c r="U142">
        <f>IF(U$5&lt;&gt;1,"",IF(SUMPRODUCT($C$108:$C$116,--(U108:U116&lt;&gt;""))=0,"",SUMPRODUCT($C$108:$C$116,U108:U116)/SUMPRODUCT($C$108:$C$116,--(U108:U116&lt;&gt;""))*$C142))</f>
        <v/>
      </c>
      <c r="V142">
        <f>IF(V$5&lt;&gt;1,"",IF(SUMPRODUCT($C$108:$C$116,--(V108:V116&lt;&gt;""))=0,"",SUMPRODUCT($C$108:$C$116,V108:V116)/SUMPRODUCT($C$108:$C$116,--(V108:V116&lt;&gt;""))*$C142))</f>
        <v/>
      </c>
      <c r="W142">
        <f>IF(W$5&lt;&gt;1,"",IF(SUMPRODUCT($C$108:$C$116,--(W108:W116&lt;&gt;""))=0,"",SUMPRODUCT($C$108:$C$116,W108:W116)/SUMPRODUCT($C$108:$C$116,--(W108:W116&lt;&gt;""))*$C142))</f>
        <v/>
      </c>
      <c r="X142">
        <f>IF(X$5&lt;&gt;1,"",IF(SUMPRODUCT($C$108:$C$116,--(X108:X116&lt;&gt;""))=0,"",SUMPRODUCT($C$108:$C$116,X108:X116)/SUMPRODUCT($C$108:$C$116,--(X108:X116&lt;&gt;""))*$C142))</f>
        <v/>
      </c>
      <c r="Y142">
        <f>IF(Y$5&lt;&gt;1,"",IF(SUMPRODUCT($C$108:$C$116,--(Y108:Y116&lt;&gt;""))=0,"",SUMPRODUCT($C$108:$C$116,Y108:Y116)/SUMPRODUCT($C$108:$C$116,--(Y108:Y116&lt;&gt;""))*$C142))</f>
        <v/>
      </c>
      <c r="Z142">
        <f>IF(Z$5&lt;&gt;1,"",IF(SUMPRODUCT($C$108:$C$116,--(Z108:Z116&lt;&gt;""))=0,"",SUMPRODUCT($C$108:$C$116,Z108:Z116)/SUMPRODUCT($C$108:$C$116,--(Z108:Z116&lt;&gt;""))*$C142))</f>
        <v/>
      </c>
      <c r="AA142">
        <f>IF(AA$5&lt;&gt;1,"",IF(SUMPRODUCT($C$108:$C$116,--(AA108:AA116&lt;&gt;""))=0,"",SUMPRODUCT($C$108:$C$116,AA108:AA116)/SUMPRODUCT($C$108:$C$116,--(AA108:AA116&lt;&gt;""))*$C142))</f>
        <v/>
      </c>
      <c r="AB142">
        <f>IF(AB$5&lt;&gt;1,"",IF(SUMPRODUCT($C$108:$C$116,--(AB108:AB116&lt;&gt;""))=0,"",SUMPRODUCT($C$108:$C$116,AB108:AB116)/SUMPRODUCT($C$108:$C$116,--(AB108:AB116&lt;&gt;""))*$C142))</f>
        <v/>
      </c>
      <c r="AC142">
        <f>IF(AC$5&lt;&gt;1,"",IF(SUMPRODUCT($C$108:$C$116,--(AC108:AC116&lt;&gt;""))=0,"",SUMPRODUCT($C$108:$C$116,AC108:AC116)/SUMPRODUCT($C$108:$C$116,--(AC108:AC116&lt;&gt;""))*$C142))</f>
        <v/>
      </c>
      <c r="AD142">
        <f>IF(AD$5&lt;&gt;1,"",IF(SUMPRODUCT($C$108:$C$116,--(AD108:AD116&lt;&gt;""))=0,"",SUMPRODUCT($C$108:$C$116,AD108:AD116)/SUMPRODUCT($C$108:$C$116,--(AD108:AD116&lt;&gt;""))*$C142))</f>
        <v/>
      </c>
      <c r="AE142">
        <f>IF(AE$5&lt;&gt;1,"",IF(SUMPRODUCT($C$108:$C$116,--(AE108:AE116&lt;&gt;""))=0,"",SUMPRODUCT($C$108:$C$116,AE108:AE116)/SUMPRODUCT($C$108:$C$116,--(AE108:AE116&lt;&gt;""))*$C142))</f>
        <v/>
      </c>
      <c r="AF142">
        <f>IF(AF$5&lt;&gt;1,"",IF(SUMPRODUCT($C$108:$C$116,--(AF108:AF116&lt;&gt;""))=0,"",SUMPRODUCT($C$108:$C$116,AF108:AF116)/SUMPRODUCT($C$108:$C$116,--(AF108:AF116&lt;&gt;""))*$C142))</f>
        <v/>
      </c>
      <c r="AG142">
        <f>IF(AG$5&lt;&gt;1,"",IF(SUMPRODUCT($C$108:$C$116,--(AG108:AG116&lt;&gt;""))=0,"",SUMPRODUCT($C$108:$C$116,AG108:AG116)/SUMPRODUCT($C$108:$C$116,--(AG108:AG116&lt;&gt;""))*$C142))</f>
        <v/>
      </c>
      <c r="AH142">
        <f>IF(AH$5&lt;&gt;1,"",IF(SUMPRODUCT($C$108:$C$116,--(AH108:AH116&lt;&gt;""))=0,"",SUMPRODUCT($C$108:$C$116,AH108:AH116)/SUMPRODUCT($C$108:$C$116,--(AH108:AH116&lt;&gt;""))*$C142))</f>
        <v/>
      </c>
      <c r="AI142">
        <f>IF(AI$5&lt;&gt;1,"",IF(SUMPRODUCT($C$108:$C$116,--(AI108:AI116&lt;&gt;""))=0,"",SUMPRODUCT($C$108:$C$116,AI108:AI116)/SUMPRODUCT($C$108:$C$116,--(AI108:AI116&lt;&gt;""))*$C142))</f>
        <v/>
      </c>
      <c r="AJ142">
        <f>IF(AJ$5&lt;&gt;1,"",IF(SUMPRODUCT($C$108:$C$116,--(AJ108:AJ116&lt;&gt;""))=0,"",SUMPRODUCT($C$108:$C$116,AJ108:AJ116)/SUMPRODUCT($C$108:$C$116,--(AJ108:AJ116&lt;&gt;""))*$C142))</f>
        <v/>
      </c>
      <c r="AK142">
        <f>IF(AK$5&lt;&gt;1,"",IF(SUMPRODUCT($C$108:$C$116,--(AK108:AK116&lt;&gt;""))=0,"",SUMPRODUCT($C$108:$C$116,AK108:AK116)/SUMPRODUCT($C$108:$C$116,--(AK108:AK116&lt;&gt;""))*$C142))</f>
        <v/>
      </c>
      <c r="AL142">
        <f>IF(AL$5&lt;&gt;1,"",IF(SUMPRODUCT($C$108:$C$116,--(AL108:AL116&lt;&gt;""))=0,"",SUMPRODUCT($C$108:$C$116,AL108:AL116)/SUMPRODUCT($C$108:$C$116,--(AL108:AL116&lt;&gt;""))*$C142))</f>
        <v/>
      </c>
      <c r="AM142">
        <f>IF(AM$5&lt;&gt;1,"",IF(SUMPRODUCT($C$108:$C$116,--(AM108:AM116&lt;&gt;""))=0,"",SUMPRODUCT($C$108:$C$116,AM108:AM116)/SUMPRODUCT($C$108:$C$116,--(AM108:AM116&lt;&gt;""))*$C142))</f>
        <v/>
      </c>
      <c r="AN142">
        <f>IF(AN$5&lt;&gt;1,"",IF(SUMPRODUCT($C$108:$C$116,--(AN108:AN116&lt;&gt;""))=0,"",SUMPRODUCT($C$108:$C$116,AN108:AN116)/SUMPRODUCT($C$108:$C$116,--(AN108:AN116&lt;&gt;""))*$C142))</f>
        <v/>
      </c>
      <c r="AO142">
        <f>IF(AO$5&lt;&gt;1,"",IF(SUMPRODUCT($C$108:$C$116,--(AO108:AO116&lt;&gt;""))=0,"",SUMPRODUCT($C$108:$C$116,AO108:AO116)/SUMPRODUCT($C$108:$C$116,--(AO108:AO116&lt;&gt;""))*$C142))</f>
        <v/>
      </c>
      <c r="AP142">
        <f>IF(AP$5&lt;&gt;1,"",IF(SUMPRODUCT($C$108:$C$116,--(AP108:AP116&lt;&gt;""))=0,"",SUMPRODUCT($C$108:$C$116,AP108:AP116)/SUMPRODUCT($C$108:$C$116,--(AP108:AP116&lt;&gt;""))*$C142))</f>
        <v/>
      </c>
      <c r="AQ142">
        <f>IF(AQ$5&lt;&gt;1,"",IF(SUMPRODUCT($C$108:$C$116,--(AQ108:AQ116&lt;&gt;""))=0,"",SUMPRODUCT($C$108:$C$116,AQ108:AQ116)/SUMPRODUCT($C$108:$C$116,--(AQ108:AQ116&lt;&gt;""))*$C142))</f>
        <v/>
      </c>
      <c r="AR142">
        <f>IF(AR$5&lt;&gt;1,"",IF(SUMPRODUCT($C$108:$C$116,--(AR108:AR116&lt;&gt;""))=0,"",SUMPRODUCT($C$108:$C$116,AR108:AR116)/SUMPRODUCT($C$108:$C$116,--(AR108:AR116&lt;&gt;""))*$C142))</f>
        <v/>
      </c>
      <c r="AS142">
        <f>IF(AS$5&lt;&gt;1,"",IF(SUMPRODUCT($C$108:$C$116,--(AS108:AS116&lt;&gt;""))=0,"",SUMPRODUCT($C$108:$C$116,AS108:AS116)/SUMPRODUCT($C$108:$C$116,--(AS108:AS116&lt;&gt;""))*$C142))</f>
        <v/>
      </c>
      <c r="AT142">
        <f>IF(AT$5&lt;&gt;1,"",IF(SUMPRODUCT($C$108:$C$116,--(AT108:AT116&lt;&gt;""))=0,"",SUMPRODUCT($C$108:$C$116,AT108:AT116)/SUMPRODUCT($C$108:$C$116,--(AT108:AT116&lt;&gt;""))*$C142))</f>
        <v/>
      </c>
      <c r="AU142">
        <f>IF(AU$5&lt;&gt;1,"",IF(SUMPRODUCT($C$108:$C$116,--(AU108:AU116&lt;&gt;""))=0,"",SUMPRODUCT($C$108:$C$116,AU108:AU116)/SUMPRODUCT($C$108:$C$116,--(AU108:AU116&lt;&gt;""))*$C142))</f>
        <v/>
      </c>
      <c r="AV142">
        <f>IF(AV$5&lt;&gt;1,"",IF(SUMPRODUCT($C$108:$C$116,--(AV108:AV116&lt;&gt;""))=0,"",SUMPRODUCT($C$108:$C$116,AV108:AV116)/SUMPRODUCT($C$108:$C$116,--(AV108:AV116&lt;&gt;""))*$C142))</f>
        <v/>
      </c>
      <c r="AW142">
        <f>IF(AW$5&lt;&gt;1,"",IF(SUMPRODUCT($C$108:$C$116,--(AW108:AW116&lt;&gt;""))=0,"",SUMPRODUCT($C$108:$C$116,AW108:AW116)/SUMPRODUCT($C$108:$C$116,--(AW108:AW116&lt;&gt;""))*$C142))</f>
        <v/>
      </c>
      <c r="AX142">
        <f>IF(AX$5&lt;&gt;1,"",IF(SUMPRODUCT($C$108:$C$116,--(AX108:AX116&lt;&gt;""))=0,"",SUMPRODUCT($C$108:$C$116,AX108:AX116)/SUMPRODUCT($C$108:$C$116,--(AX108:AX116&lt;&gt;""))*$C142))</f>
        <v/>
      </c>
      <c r="AY142">
        <f>IF(AY$5&lt;&gt;1,"",IF(SUMPRODUCT($C$108:$C$116,--(AY108:AY116&lt;&gt;""))=0,"",SUMPRODUCT($C$108:$C$116,AY108:AY116)/SUMPRODUCT($C$108:$C$116,--(AY108:AY116&lt;&gt;""))*$C142))</f>
        <v/>
      </c>
      <c r="AZ142">
        <f>IF(AZ$5&lt;&gt;1,"",IF(SUMPRODUCT($C$108:$C$116,--(AZ108:AZ116&lt;&gt;""))=0,"",SUMPRODUCT($C$108:$C$116,AZ108:AZ116)/SUMPRODUCT($C$108:$C$116,--(AZ108:AZ116&lt;&gt;""))*$C142))</f>
        <v/>
      </c>
      <c r="BA142">
        <f>IF(BA$5&lt;&gt;1,"",IF(SUMPRODUCT($C$108:$C$116,--(BA108:BA116&lt;&gt;""))=0,"",SUMPRODUCT($C$108:$C$116,BA108:BA116)/SUMPRODUCT($C$108:$C$116,--(BA108:BA116&lt;&gt;""))*$C142))</f>
        <v/>
      </c>
      <c r="BB142">
        <f>IF(BB$5&lt;&gt;1,"",IF(SUMPRODUCT($C$108:$C$116,--(BB108:BB116&lt;&gt;""))=0,"",SUMPRODUCT($C$108:$C$116,BB108:BB116)/SUMPRODUCT($C$108:$C$116,--(BB108:BB116&lt;&gt;""))*$C142))</f>
        <v/>
      </c>
    </row>
    <row r="143">
      <c r="A143" s="16" t="inlineStr">
        <is>
          <t>P6</t>
        </is>
      </c>
      <c r="B143" s="16" t="inlineStr">
        <is>
          <t>고충처리</t>
        </is>
      </c>
      <c r="C143" s="41">
        <f>SUM($C$117:$C$120)</f>
        <v/>
      </c>
      <c r="E143">
        <f>IF(E$5&lt;&gt;1,"",IF(SUMPRODUCT($C$117:$C$120,--(E117:E120&lt;&gt;""))=0,"",SUMPRODUCT($C$117:$C$120,E117:E120)/SUMPRODUCT($C$117:$C$120,--(E117:E120&lt;&gt;""))*$C143))</f>
        <v/>
      </c>
      <c r="F143">
        <f>IF(F$5&lt;&gt;1,"",IF(SUMPRODUCT($C$117:$C$120,--(F117:F120&lt;&gt;""))=0,"",SUMPRODUCT($C$117:$C$120,F117:F120)/SUMPRODUCT($C$117:$C$120,--(F117:F120&lt;&gt;""))*$C143))</f>
        <v/>
      </c>
      <c r="G143">
        <f>IF(G$5&lt;&gt;1,"",IF(SUMPRODUCT($C$117:$C$120,--(G117:G120&lt;&gt;""))=0,"",SUMPRODUCT($C$117:$C$120,G117:G120)/SUMPRODUCT($C$117:$C$120,--(G117:G120&lt;&gt;""))*$C143))</f>
        <v/>
      </c>
      <c r="H143">
        <f>IF(H$5&lt;&gt;1,"",IF(SUMPRODUCT($C$117:$C$120,--(H117:H120&lt;&gt;""))=0,"",SUMPRODUCT($C$117:$C$120,H117:H120)/SUMPRODUCT($C$117:$C$120,--(H117:H120&lt;&gt;""))*$C143))</f>
        <v/>
      </c>
      <c r="I143">
        <f>IF(I$5&lt;&gt;1,"",IF(SUMPRODUCT($C$117:$C$120,--(I117:I120&lt;&gt;""))=0,"",SUMPRODUCT($C$117:$C$120,I117:I120)/SUMPRODUCT($C$117:$C$120,--(I117:I120&lt;&gt;""))*$C143))</f>
        <v/>
      </c>
      <c r="J143">
        <f>IF(J$5&lt;&gt;1,"",IF(SUMPRODUCT($C$117:$C$120,--(J117:J120&lt;&gt;""))=0,"",SUMPRODUCT($C$117:$C$120,J117:J120)/SUMPRODUCT($C$117:$C$120,--(J117:J120&lt;&gt;""))*$C143))</f>
        <v/>
      </c>
      <c r="K143">
        <f>IF(K$5&lt;&gt;1,"",IF(SUMPRODUCT($C$117:$C$120,--(K117:K120&lt;&gt;""))=0,"",SUMPRODUCT($C$117:$C$120,K117:K120)/SUMPRODUCT($C$117:$C$120,--(K117:K120&lt;&gt;""))*$C143))</f>
        <v/>
      </c>
      <c r="L143">
        <f>IF(L$5&lt;&gt;1,"",IF(SUMPRODUCT($C$117:$C$120,--(L117:L120&lt;&gt;""))=0,"",SUMPRODUCT($C$117:$C$120,L117:L120)/SUMPRODUCT($C$117:$C$120,--(L117:L120&lt;&gt;""))*$C143))</f>
        <v/>
      </c>
      <c r="M143">
        <f>IF(M$5&lt;&gt;1,"",IF(SUMPRODUCT($C$117:$C$120,--(M117:M120&lt;&gt;""))=0,"",SUMPRODUCT($C$117:$C$120,M117:M120)/SUMPRODUCT($C$117:$C$120,--(M117:M120&lt;&gt;""))*$C143))</f>
        <v/>
      </c>
      <c r="N143">
        <f>IF(N$5&lt;&gt;1,"",IF(SUMPRODUCT($C$117:$C$120,--(N117:N120&lt;&gt;""))=0,"",SUMPRODUCT($C$117:$C$120,N117:N120)/SUMPRODUCT($C$117:$C$120,--(N117:N120&lt;&gt;""))*$C143))</f>
        <v/>
      </c>
      <c r="O143">
        <f>IF(O$5&lt;&gt;1,"",IF(SUMPRODUCT($C$117:$C$120,--(O117:O120&lt;&gt;""))=0,"",SUMPRODUCT($C$117:$C$120,O117:O120)/SUMPRODUCT($C$117:$C$120,--(O117:O120&lt;&gt;""))*$C143))</f>
        <v/>
      </c>
      <c r="P143">
        <f>IF(P$5&lt;&gt;1,"",IF(SUMPRODUCT($C$117:$C$120,--(P117:P120&lt;&gt;""))=0,"",SUMPRODUCT($C$117:$C$120,P117:P120)/SUMPRODUCT($C$117:$C$120,--(P117:P120&lt;&gt;""))*$C143))</f>
        <v/>
      </c>
      <c r="Q143">
        <f>IF(Q$5&lt;&gt;1,"",IF(SUMPRODUCT($C$117:$C$120,--(Q117:Q120&lt;&gt;""))=0,"",SUMPRODUCT($C$117:$C$120,Q117:Q120)/SUMPRODUCT($C$117:$C$120,--(Q117:Q120&lt;&gt;""))*$C143))</f>
        <v/>
      </c>
      <c r="R143">
        <f>IF(R$5&lt;&gt;1,"",IF(SUMPRODUCT($C$117:$C$120,--(R117:R120&lt;&gt;""))=0,"",SUMPRODUCT($C$117:$C$120,R117:R120)/SUMPRODUCT($C$117:$C$120,--(R117:R120&lt;&gt;""))*$C143))</f>
        <v/>
      </c>
      <c r="S143">
        <f>IF(S$5&lt;&gt;1,"",IF(SUMPRODUCT($C$117:$C$120,--(S117:S120&lt;&gt;""))=0,"",SUMPRODUCT($C$117:$C$120,S117:S120)/SUMPRODUCT($C$117:$C$120,--(S117:S120&lt;&gt;""))*$C143))</f>
        <v/>
      </c>
      <c r="T143">
        <f>IF(T$5&lt;&gt;1,"",IF(SUMPRODUCT($C$117:$C$120,--(T117:T120&lt;&gt;""))=0,"",SUMPRODUCT($C$117:$C$120,T117:T120)/SUMPRODUCT($C$117:$C$120,--(T117:T120&lt;&gt;""))*$C143))</f>
        <v/>
      </c>
      <c r="U143">
        <f>IF(U$5&lt;&gt;1,"",IF(SUMPRODUCT($C$117:$C$120,--(U117:U120&lt;&gt;""))=0,"",SUMPRODUCT($C$117:$C$120,U117:U120)/SUMPRODUCT($C$117:$C$120,--(U117:U120&lt;&gt;""))*$C143))</f>
        <v/>
      </c>
      <c r="V143">
        <f>IF(V$5&lt;&gt;1,"",IF(SUMPRODUCT($C$117:$C$120,--(V117:V120&lt;&gt;""))=0,"",SUMPRODUCT($C$117:$C$120,V117:V120)/SUMPRODUCT($C$117:$C$120,--(V117:V120&lt;&gt;""))*$C143))</f>
        <v/>
      </c>
      <c r="W143">
        <f>IF(W$5&lt;&gt;1,"",IF(SUMPRODUCT($C$117:$C$120,--(W117:W120&lt;&gt;""))=0,"",SUMPRODUCT($C$117:$C$120,W117:W120)/SUMPRODUCT($C$117:$C$120,--(W117:W120&lt;&gt;""))*$C143))</f>
        <v/>
      </c>
      <c r="X143">
        <f>IF(X$5&lt;&gt;1,"",IF(SUMPRODUCT($C$117:$C$120,--(X117:X120&lt;&gt;""))=0,"",SUMPRODUCT($C$117:$C$120,X117:X120)/SUMPRODUCT($C$117:$C$120,--(X117:X120&lt;&gt;""))*$C143))</f>
        <v/>
      </c>
      <c r="Y143">
        <f>IF(Y$5&lt;&gt;1,"",IF(SUMPRODUCT($C$117:$C$120,--(Y117:Y120&lt;&gt;""))=0,"",SUMPRODUCT($C$117:$C$120,Y117:Y120)/SUMPRODUCT($C$117:$C$120,--(Y117:Y120&lt;&gt;""))*$C143))</f>
        <v/>
      </c>
      <c r="Z143">
        <f>IF(Z$5&lt;&gt;1,"",IF(SUMPRODUCT($C$117:$C$120,--(Z117:Z120&lt;&gt;""))=0,"",SUMPRODUCT($C$117:$C$120,Z117:Z120)/SUMPRODUCT($C$117:$C$120,--(Z117:Z120&lt;&gt;""))*$C143))</f>
        <v/>
      </c>
      <c r="AA143">
        <f>IF(AA$5&lt;&gt;1,"",IF(SUMPRODUCT($C$117:$C$120,--(AA117:AA120&lt;&gt;""))=0,"",SUMPRODUCT($C$117:$C$120,AA117:AA120)/SUMPRODUCT($C$117:$C$120,--(AA117:AA120&lt;&gt;""))*$C143))</f>
        <v/>
      </c>
      <c r="AB143">
        <f>IF(AB$5&lt;&gt;1,"",IF(SUMPRODUCT($C$117:$C$120,--(AB117:AB120&lt;&gt;""))=0,"",SUMPRODUCT($C$117:$C$120,AB117:AB120)/SUMPRODUCT($C$117:$C$120,--(AB117:AB120&lt;&gt;""))*$C143))</f>
        <v/>
      </c>
      <c r="AC143">
        <f>IF(AC$5&lt;&gt;1,"",IF(SUMPRODUCT($C$117:$C$120,--(AC117:AC120&lt;&gt;""))=0,"",SUMPRODUCT($C$117:$C$120,AC117:AC120)/SUMPRODUCT($C$117:$C$120,--(AC117:AC120&lt;&gt;""))*$C143))</f>
        <v/>
      </c>
      <c r="AD143">
        <f>IF(AD$5&lt;&gt;1,"",IF(SUMPRODUCT($C$117:$C$120,--(AD117:AD120&lt;&gt;""))=0,"",SUMPRODUCT($C$117:$C$120,AD117:AD120)/SUMPRODUCT($C$117:$C$120,--(AD117:AD120&lt;&gt;""))*$C143))</f>
        <v/>
      </c>
      <c r="AE143">
        <f>IF(AE$5&lt;&gt;1,"",IF(SUMPRODUCT($C$117:$C$120,--(AE117:AE120&lt;&gt;""))=0,"",SUMPRODUCT($C$117:$C$120,AE117:AE120)/SUMPRODUCT($C$117:$C$120,--(AE117:AE120&lt;&gt;""))*$C143))</f>
        <v/>
      </c>
      <c r="AF143">
        <f>IF(AF$5&lt;&gt;1,"",IF(SUMPRODUCT($C$117:$C$120,--(AF117:AF120&lt;&gt;""))=0,"",SUMPRODUCT($C$117:$C$120,AF117:AF120)/SUMPRODUCT($C$117:$C$120,--(AF117:AF120&lt;&gt;""))*$C143))</f>
        <v/>
      </c>
      <c r="AG143">
        <f>IF(AG$5&lt;&gt;1,"",IF(SUMPRODUCT($C$117:$C$120,--(AG117:AG120&lt;&gt;""))=0,"",SUMPRODUCT($C$117:$C$120,AG117:AG120)/SUMPRODUCT($C$117:$C$120,--(AG117:AG120&lt;&gt;""))*$C143))</f>
        <v/>
      </c>
      <c r="AH143">
        <f>IF(AH$5&lt;&gt;1,"",IF(SUMPRODUCT($C$117:$C$120,--(AH117:AH120&lt;&gt;""))=0,"",SUMPRODUCT($C$117:$C$120,AH117:AH120)/SUMPRODUCT($C$117:$C$120,--(AH117:AH120&lt;&gt;""))*$C143))</f>
        <v/>
      </c>
      <c r="AI143">
        <f>IF(AI$5&lt;&gt;1,"",IF(SUMPRODUCT($C$117:$C$120,--(AI117:AI120&lt;&gt;""))=0,"",SUMPRODUCT($C$117:$C$120,AI117:AI120)/SUMPRODUCT($C$117:$C$120,--(AI117:AI120&lt;&gt;""))*$C143))</f>
        <v/>
      </c>
      <c r="AJ143">
        <f>IF(AJ$5&lt;&gt;1,"",IF(SUMPRODUCT($C$117:$C$120,--(AJ117:AJ120&lt;&gt;""))=0,"",SUMPRODUCT($C$117:$C$120,AJ117:AJ120)/SUMPRODUCT($C$117:$C$120,--(AJ117:AJ120&lt;&gt;""))*$C143))</f>
        <v/>
      </c>
      <c r="AK143">
        <f>IF(AK$5&lt;&gt;1,"",IF(SUMPRODUCT($C$117:$C$120,--(AK117:AK120&lt;&gt;""))=0,"",SUMPRODUCT($C$117:$C$120,AK117:AK120)/SUMPRODUCT($C$117:$C$120,--(AK117:AK120&lt;&gt;""))*$C143))</f>
        <v/>
      </c>
      <c r="AL143">
        <f>IF(AL$5&lt;&gt;1,"",IF(SUMPRODUCT($C$117:$C$120,--(AL117:AL120&lt;&gt;""))=0,"",SUMPRODUCT($C$117:$C$120,AL117:AL120)/SUMPRODUCT($C$117:$C$120,--(AL117:AL120&lt;&gt;""))*$C143))</f>
        <v/>
      </c>
      <c r="AM143">
        <f>IF(AM$5&lt;&gt;1,"",IF(SUMPRODUCT($C$117:$C$120,--(AM117:AM120&lt;&gt;""))=0,"",SUMPRODUCT($C$117:$C$120,AM117:AM120)/SUMPRODUCT($C$117:$C$120,--(AM117:AM120&lt;&gt;""))*$C143))</f>
        <v/>
      </c>
      <c r="AN143">
        <f>IF(AN$5&lt;&gt;1,"",IF(SUMPRODUCT($C$117:$C$120,--(AN117:AN120&lt;&gt;""))=0,"",SUMPRODUCT($C$117:$C$120,AN117:AN120)/SUMPRODUCT($C$117:$C$120,--(AN117:AN120&lt;&gt;""))*$C143))</f>
        <v/>
      </c>
      <c r="AO143">
        <f>IF(AO$5&lt;&gt;1,"",IF(SUMPRODUCT($C$117:$C$120,--(AO117:AO120&lt;&gt;""))=0,"",SUMPRODUCT($C$117:$C$120,AO117:AO120)/SUMPRODUCT($C$117:$C$120,--(AO117:AO120&lt;&gt;""))*$C143))</f>
        <v/>
      </c>
      <c r="AP143">
        <f>IF(AP$5&lt;&gt;1,"",IF(SUMPRODUCT($C$117:$C$120,--(AP117:AP120&lt;&gt;""))=0,"",SUMPRODUCT($C$117:$C$120,AP117:AP120)/SUMPRODUCT($C$117:$C$120,--(AP117:AP120&lt;&gt;""))*$C143))</f>
        <v/>
      </c>
      <c r="AQ143">
        <f>IF(AQ$5&lt;&gt;1,"",IF(SUMPRODUCT($C$117:$C$120,--(AQ117:AQ120&lt;&gt;""))=0,"",SUMPRODUCT($C$117:$C$120,AQ117:AQ120)/SUMPRODUCT($C$117:$C$120,--(AQ117:AQ120&lt;&gt;""))*$C143))</f>
        <v/>
      </c>
      <c r="AR143">
        <f>IF(AR$5&lt;&gt;1,"",IF(SUMPRODUCT($C$117:$C$120,--(AR117:AR120&lt;&gt;""))=0,"",SUMPRODUCT($C$117:$C$120,AR117:AR120)/SUMPRODUCT($C$117:$C$120,--(AR117:AR120&lt;&gt;""))*$C143))</f>
        <v/>
      </c>
      <c r="AS143">
        <f>IF(AS$5&lt;&gt;1,"",IF(SUMPRODUCT($C$117:$C$120,--(AS117:AS120&lt;&gt;""))=0,"",SUMPRODUCT($C$117:$C$120,AS117:AS120)/SUMPRODUCT($C$117:$C$120,--(AS117:AS120&lt;&gt;""))*$C143))</f>
        <v/>
      </c>
      <c r="AT143">
        <f>IF(AT$5&lt;&gt;1,"",IF(SUMPRODUCT($C$117:$C$120,--(AT117:AT120&lt;&gt;""))=0,"",SUMPRODUCT($C$117:$C$120,AT117:AT120)/SUMPRODUCT($C$117:$C$120,--(AT117:AT120&lt;&gt;""))*$C143))</f>
        <v/>
      </c>
      <c r="AU143">
        <f>IF(AU$5&lt;&gt;1,"",IF(SUMPRODUCT($C$117:$C$120,--(AU117:AU120&lt;&gt;""))=0,"",SUMPRODUCT($C$117:$C$120,AU117:AU120)/SUMPRODUCT($C$117:$C$120,--(AU117:AU120&lt;&gt;""))*$C143))</f>
        <v/>
      </c>
      <c r="AV143">
        <f>IF(AV$5&lt;&gt;1,"",IF(SUMPRODUCT($C$117:$C$120,--(AV117:AV120&lt;&gt;""))=0,"",SUMPRODUCT($C$117:$C$120,AV117:AV120)/SUMPRODUCT($C$117:$C$120,--(AV117:AV120&lt;&gt;""))*$C143))</f>
        <v/>
      </c>
      <c r="AW143">
        <f>IF(AW$5&lt;&gt;1,"",IF(SUMPRODUCT($C$117:$C$120,--(AW117:AW120&lt;&gt;""))=0,"",SUMPRODUCT($C$117:$C$120,AW117:AW120)/SUMPRODUCT($C$117:$C$120,--(AW117:AW120&lt;&gt;""))*$C143))</f>
        <v/>
      </c>
      <c r="AX143">
        <f>IF(AX$5&lt;&gt;1,"",IF(SUMPRODUCT($C$117:$C$120,--(AX117:AX120&lt;&gt;""))=0,"",SUMPRODUCT($C$117:$C$120,AX117:AX120)/SUMPRODUCT($C$117:$C$120,--(AX117:AX120&lt;&gt;""))*$C143))</f>
        <v/>
      </c>
      <c r="AY143">
        <f>IF(AY$5&lt;&gt;1,"",IF(SUMPRODUCT($C$117:$C$120,--(AY117:AY120&lt;&gt;""))=0,"",SUMPRODUCT($C$117:$C$120,AY117:AY120)/SUMPRODUCT($C$117:$C$120,--(AY117:AY120&lt;&gt;""))*$C143))</f>
        <v/>
      </c>
      <c r="AZ143">
        <f>IF(AZ$5&lt;&gt;1,"",IF(SUMPRODUCT($C$117:$C$120,--(AZ117:AZ120&lt;&gt;""))=0,"",SUMPRODUCT($C$117:$C$120,AZ117:AZ120)/SUMPRODUCT($C$117:$C$120,--(AZ117:AZ120&lt;&gt;""))*$C143))</f>
        <v/>
      </c>
      <c r="BA143">
        <f>IF(BA$5&lt;&gt;1,"",IF(SUMPRODUCT($C$117:$C$120,--(BA117:BA120&lt;&gt;""))=0,"",SUMPRODUCT($C$117:$C$120,BA117:BA120)/SUMPRODUCT($C$117:$C$120,--(BA117:BA120&lt;&gt;""))*$C143))</f>
        <v/>
      </c>
      <c r="BB143">
        <f>IF(BB$5&lt;&gt;1,"",IF(SUMPRODUCT($C$117:$C$120,--(BB117:BB120&lt;&gt;""))=0,"",SUMPRODUCT($C$117:$C$120,BB117:BB120)/SUMPRODUCT($C$117:$C$120,--(BB117:BB120&lt;&gt;""))*$C143))</f>
        <v/>
      </c>
    </row>
    <row r="144">
      <c r="A144" s="16" t="inlineStr">
        <is>
          <t>P7</t>
        </is>
      </c>
      <c r="B144" s="16" t="inlineStr">
        <is>
          <t>노사협의회 활용성</t>
        </is>
      </c>
      <c r="C144" s="41">
        <f>SUM($C$121:$C$125)</f>
        <v/>
      </c>
      <c r="E144">
        <f>IF(E$5&lt;&gt;1,"",IF($C$2,"",IF($E$2,0,IF(SUMPRODUCT($C$121:$C$125,--(E121:E125&lt;&gt;""))=0,"",SUMPRODUCT($C$121:$C$125,E121:E125)/SUMPRODUCT($C$121:$C$125,--(E121:E125&lt;&gt;""))*$C144))))</f>
        <v/>
      </c>
      <c r="F144">
        <f>IF(F$5&lt;&gt;1,"",IF($C$2,"",IF($E$2,0,IF(SUMPRODUCT($C$121:$C$125,--(F121:F125&lt;&gt;""))=0,"",SUMPRODUCT($C$121:$C$125,F121:F125)/SUMPRODUCT($C$121:$C$125,--(F121:F125&lt;&gt;""))*$C144))))</f>
        <v/>
      </c>
      <c r="G144">
        <f>IF(G$5&lt;&gt;1,"",IF($C$2,"",IF($E$2,0,IF(SUMPRODUCT($C$121:$C$125,--(G121:G125&lt;&gt;""))=0,"",SUMPRODUCT($C$121:$C$125,G121:G125)/SUMPRODUCT($C$121:$C$125,--(G121:G125&lt;&gt;""))*$C144))))</f>
        <v/>
      </c>
      <c r="H144">
        <f>IF(H$5&lt;&gt;1,"",IF($C$2,"",IF($E$2,0,IF(SUMPRODUCT($C$121:$C$125,--(H121:H125&lt;&gt;""))=0,"",SUMPRODUCT($C$121:$C$125,H121:H125)/SUMPRODUCT($C$121:$C$125,--(H121:H125&lt;&gt;""))*$C144))))</f>
        <v/>
      </c>
      <c r="I144">
        <f>IF(I$5&lt;&gt;1,"",IF($C$2,"",IF($E$2,0,IF(SUMPRODUCT($C$121:$C$125,--(I121:I125&lt;&gt;""))=0,"",SUMPRODUCT($C$121:$C$125,I121:I125)/SUMPRODUCT($C$121:$C$125,--(I121:I125&lt;&gt;""))*$C144))))</f>
        <v/>
      </c>
      <c r="J144">
        <f>IF(J$5&lt;&gt;1,"",IF($C$2,"",IF($E$2,0,IF(SUMPRODUCT($C$121:$C$125,--(J121:J125&lt;&gt;""))=0,"",SUMPRODUCT($C$121:$C$125,J121:J125)/SUMPRODUCT($C$121:$C$125,--(J121:J125&lt;&gt;""))*$C144))))</f>
        <v/>
      </c>
      <c r="K144">
        <f>IF(K$5&lt;&gt;1,"",IF($C$2,"",IF($E$2,0,IF(SUMPRODUCT($C$121:$C$125,--(K121:K125&lt;&gt;""))=0,"",SUMPRODUCT($C$121:$C$125,K121:K125)/SUMPRODUCT($C$121:$C$125,--(K121:K125&lt;&gt;""))*$C144))))</f>
        <v/>
      </c>
      <c r="L144">
        <f>IF(L$5&lt;&gt;1,"",IF($C$2,"",IF($E$2,0,IF(SUMPRODUCT($C$121:$C$125,--(L121:L125&lt;&gt;""))=0,"",SUMPRODUCT($C$121:$C$125,L121:L125)/SUMPRODUCT($C$121:$C$125,--(L121:L125&lt;&gt;""))*$C144))))</f>
        <v/>
      </c>
      <c r="M144">
        <f>IF(M$5&lt;&gt;1,"",IF($C$2,"",IF($E$2,0,IF(SUMPRODUCT($C$121:$C$125,--(M121:M125&lt;&gt;""))=0,"",SUMPRODUCT($C$121:$C$125,M121:M125)/SUMPRODUCT($C$121:$C$125,--(M121:M125&lt;&gt;""))*$C144))))</f>
        <v/>
      </c>
      <c r="N144">
        <f>IF(N$5&lt;&gt;1,"",IF($C$2,"",IF($E$2,0,IF(SUMPRODUCT($C$121:$C$125,--(N121:N125&lt;&gt;""))=0,"",SUMPRODUCT($C$121:$C$125,N121:N125)/SUMPRODUCT($C$121:$C$125,--(N121:N125&lt;&gt;""))*$C144))))</f>
        <v/>
      </c>
      <c r="O144">
        <f>IF(O$5&lt;&gt;1,"",IF($C$2,"",IF($E$2,0,IF(SUMPRODUCT($C$121:$C$125,--(O121:O125&lt;&gt;""))=0,"",SUMPRODUCT($C$121:$C$125,O121:O125)/SUMPRODUCT($C$121:$C$125,--(O121:O125&lt;&gt;""))*$C144))))</f>
        <v/>
      </c>
      <c r="P144">
        <f>IF(P$5&lt;&gt;1,"",IF($C$2,"",IF($E$2,0,IF(SUMPRODUCT($C$121:$C$125,--(P121:P125&lt;&gt;""))=0,"",SUMPRODUCT($C$121:$C$125,P121:P125)/SUMPRODUCT($C$121:$C$125,--(P121:P125&lt;&gt;""))*$C144))))</f>
        <v/>
      </c>
      <c r="Q144">
        <f>IF(Q$5&lt;&gt;1,"",IF($C$2,"",IF($E$2,0,IF(SUMPRODUCT($C$121:$C$125,--(Q121:Q125&lt;&gt;""))=0,"",SUMPRODUCT($C$121:$C$125,Q121:Q125)/SUMPRODUCT($C$121:$C$125,--(Q121:Q125&lt;&gt;""))*$C144))))</f>
        <v/>
      </c>
      <c r="R144">
        <f>IF(R$5&lt;&gt;1,"",IF($C$2,"",IF($E$2,0,IF(SUMPRODUCT($C$121:$C$125,--(R121:R125&lt;&gt;""))=0,"",SUMPRODUCT($C$121:$C$125,R121:R125)/SUMPRODUCT($C$121:$C$125,--(R121:R125&lt;&gt;""))*$C144))))</f>
        <v/>
      </c>
      <c r="S144">
        <f>IF(S$5&lt;&gt;1,"",IF($C$2,"",IF($E$2,0,IF(SUMPRODUCT($C$121:$C$125,--(S121:S125&lt;&gt;""))=0,"",SUMPRODUCT($C$121:$C$125,S121:S125)/SUMPRODUCT($C$121:$C$125,--(S121:S125&lt;&gt;""))*$C144))))</f>
        <v/>
      </c>
      <c r="T144">
        <f>IF(T$5&lt;&gt;1,"",IF($C$2,"",IF($E$2,0,IF(SUMPRODUCT($C$121:$C$125,--(T121:T125&lt;&gt;""))=0,"",SUMPRODUCT($C$121:$C$125,T121:T125)/SUMPRODUCT($C$121:$C$125,--(T121:T125&lt;&gt;""))*$C144))))</f>
        <v/>
      </c>
      <c r="U144">
        <f>IF(U$5&lt;&gt;1,"",IF($C$2,"",IF($E$2,0,IF(SUMPRODUCT($C$121:$C$125,--(U121:U125&lt;&gt;""))=0,"",SUMPRODUCT($C$121:$C$125,U121:U125)/SUMPRODUCT($C$121:$C$125,--(U121:U125&lt;&gt;""))*$C144))))</f>
        <v/>
      </c>
      <c r="V144">
        <f>IF(V$5&lt;&gt;1,"",IF($C$2,"",IF($E$2,0,IF(SUMPRODUCT($C$121:$C$125,--(V121:V125&lt;&gt;""))=0,"",SUMPRODUCT($C$121:$C$125,V121:V125)/SUMPRODUCT($C$121:$C$125,--(V121:V125&lt;&gt;""))*$C144))))</f>
        <v/>
      </c>
      <c r="W144">
        <f>IF(W$5&lt;&gt;1,"",IF($C$2,"",IF($E$2,0,IF(SUMPRODUCT($C$121:$C$125,--(W121:W125&lt;&gt;""))=0,"",SUMPRODUCT($C$121:$C$125,W121:W125)/SUMPRODUCT($C$121:$C$125,--(W121:W125&lt;&gt;""))*$C144))))</f>
        <v/>
      </c>
      <c r="X144">
        <f>IF(X$5&lt;&gt;1,"",IF($C$2,"",IF($E$2,0,IF(SUMPRODUCT($C$121:$C$125,--(X121:X125&lt;&gt;""))=0,"",SUMPRODUCT($C$121:$C$125,X121:X125)/SUMPRODUCT($C$121:$C$125,--(X121:X125&lt;&gt;""))*$C144))))</f>
        <v/>
      </c>
      <c r="Y144">
        <f>IF(Y$5&lt;&gt;1,"",IF($C$2,"",IF($E$2,0,IF(SUMPRODUCT($C$121:$C$125,--(Y121:Y125&lt;&gt;""))=0,"",SUMPRODUCT($C$121:$C$125,Y121:Y125)/SUMPRODUCT($C$121:$C$125,--(Y121:Y125&lt;&gt;""))*$C144))))</f>
        <v/>
      </c>
      <c r="Z144">
        <f>IF(Z$5&lt;&gt;1,"",IF($C$2,"",IF($E$2,0,IF(SUMPRODUCT($C$121:$C$125,--(Z121:Z125&lt;&gt;""))=0,"",SUMPRODUCT($C$121:$C$125,Z121:Z125)/SUMPRODUCT($C$121:$C$125,--(Z121:Z125&lt;&gt;""))*$C144))))</f>
        <v/>
      </c>
      <c r="AA144">
        <f>IF(AA$5&lt;&gt;1,"",IF($C$2,"",IF($E$2,0,IF(SUMPRODUCT($C$121:$C$125,--(AA121:AA125&lt;&gt;""))=0,"",SUMPRODUCT($C$121:$C$125,AA121:AA125)/SUMPRODUCT($C$121:$C$125,--(AA121:AA125&lt;&gt;""))*$C144))))</f>
        <v/>
      </c>
      <c r="AB144">
        <f>IF(AB$5&lt;&gt;1,"",IF($C$2,"",IF($E$2,0,IF(SUMPRODUCT($C$121:$C$125,--(AB121:AB125&lt;&gt;""))=0,"",SUMPRODUCT($C$121:$C$125,AB121:AB125)/SUMPRODUCT($C$121:$C$125,--(AB121:AB125&lt;&gt;""))*$C144))))</f>
        <v/>
      </c>
      <c r="AC144">
        <f>IF(AC$5&lt;&gt;1,"",IF($C$2,"",IF($E$2,0,IF(SUMPRODUCT($C$121:$C$125,--(AC121:AC125&lt;&gt;""))=0,"",SUMPRODUCT($C$121:$C$125,AC121:AC125)/SUMPRODUCT($C$121:$C$125,--(AC121:AC125&lt;&gt;""))*$C144))))</f>
        <v/>
      </c>
      <c r="AD144">
        <f>IF(AD$5&lt;&gt;1,"",IF($C$2,"",IF($E$2,0,IF(SUMPRODUCT($C$121:$C$125,--(AD121:AD125&lt;&gt;""))=0,"",SUMPRODUCT($C$121:$C$125,AD121:AD125)/SUMPRODUCT($C$121:$C$125,--(AD121:AD125&lt;&gt;""))*$C144))))</f>
        <v/>
      </c>
      <c r="AE144">
        <f>IF(AE$5&lt;&gt;1,"",IF($C$2,"",IF($E$2,0,IF(SUMPRODUCT($C$121:$C$125,--(AE121:AE125&lt;&gt;""))=0,"",SUMPRODUCT($C$121:$C$125,AE121:AE125)/SUMPRODUCT($C$121:$C$125,--(AE121:AE125&lt;&gt;""))*$C144))))</f>
        <v/>
      </c>
      <c r="AF144">
        <f>IF(AF$5&lt;&gt;1,"",IF($C$2,"",IF($E$2,0,IF(SUMPRODUCT($C$121:$C$125,--(AF121:AF125&lt;&gt;""))=0,"",SUMPRODUCT($C$121:$C$125,AF121:AF125)/SUMPRODUCT($C$121:$C$125,--(AF121:AF125&lt;&gt;""))*$C144))))</f>
        <v/>
      </c>
      <c r="AG144">
        <f>IF(AG$5&lt;&gt;1,"",IF($C$2,"",IF($E$2,0,IF(SUMPRODUCT($C$121:$C$125,--(AG121:AG125&lt;&gt;""))=0,"",SUMPRODUCT($C$121:$C$125,AG121:AG125)/SUMPRODUCT($C$121:$C$125,--(AG121:AG125&lt;&gt;""))*$C144))))</f>
        <v/>
      </c>
      <c r="AH144">
        <f>IF(AH$5&lt;&gt;1,"",IF($C$2,"",IF($E$2,0,IF(SUMPRODUCT($C$121:$C$125,--(AH121:AH125&lt;&gt;""))=0,"",SUMPRODUCT($C$121:$C$125,AH121:AH125)/SUMPRODUCT($C$121:$C$125,--(AH121:AH125&lt;&gt;""))*$C144))))</f>
        <v/>
      </c>
      <c r="AI144">
        <f>IF(AI$5&lt;&gt;1,"",IF($C$2,"",IF($E$2,0,IF(SUMPRODUCT($C$121:$C$125,--(AI121:AI125&lt;&gt;""))=0,"",SUMPRODUCT($C$121:$C$125,AI121:AI125)/SUMPRODUCT($C$121:$C$125,--(AI121:AI125&lt;&gt;""))*$C144))))</f>
        <v/>
      </c>
      <c r="AJ144">
        <f>IF(AJ$5&lt;&gt;1,"",IF($C$2,"",IF($E$2,0,IF(SUMPRODUCT($C$121:$C$125,--(AJ121:AJ125&lt;&gt;""))=0,"",SUMPRODUCT($C$121:$C$125,AJ121:AJ125)/SUMPRODUCT($C$121:$C$125,--(AJ121:AJ125&lt;&gt;""))*$C144))))</f>
        <v/>
      </c>
      <c r="AK144">
        <f>IF(AK$5&lt;&gt;1,"",IF($C$2,"",IF($E$2,0,IF(SUMPRODUCT($C$121:$C$125,--(AK121:AK125&lt;&gt;""))=0,"",SUMPRODUCT($C$121:$C$125,AK121:AK125)/SUMPRODUCT($C$121:$C$125,--(AK121:AK125&lt;&gt;""))*$C144))))</f>
        <v/>
      </c>
      <c r="AL144">
        <f>IF(AL$5&lt;&gt;1,"",IF($C$2,"",IF($E$2,0,IF(SUMPRODUCT($C$121:$C$125,--(AL121:AL125&lt;&gt;""))=0,"",SUMPRODUCT($C$121:$C$125,AL121:AL125)/SUMPRODUCT($C$121:$C$125,--(AL121:AL125&lt;&gt;""))*$C144))))</f>
        <v/>
      </c>
      <c r="AM144">
        <f>IF(AM$5&lt;&gt;1,"",IF($C$2,"",IF($E$2,0,IF(SUMPRODUCT($C$121:$C$125,--(AM121:AM125&lt;&gt;""))=0,"",SUMPRODUCT($C$121:$C$125,AM121:AM125)/SUMPRODUCT($C$121:$C$125,--(AM121:AM125&lt;&gt;""))*$C144))))</f>
        <v/>
      </c>
      <c r="AN144">
        <f>IF(AN$5&lt;&gt;1,"",IF($C$2,"",IF($E$2,0,IF(SUMPRODUCT($C$121:$C$125,--(AN121:AN125&lt;&gt;""))=0,"",SUMPRODUCT($C$121:$C$125,AN121:AN125)/SUMPRODUCT($C$121:$C$125,--(AN121:AN125&lt;&gt;""))*$C144))))</f>
        <v/>
      </c>
      <c r="AO144">
        <f>IF(AO$5&lt;&gt;1,"",IF($C$2,"",IF($E$2,0,IF(SUMPRODUCT($C$121:$C$125,--(AO121:AO125&lt;&gt;""))=0,"",SUMPRODUCT($C$121:$C$125,AO121:AO125)/SUMPRODUCT($C$121:$C$125,--(AO121:AO125&lt;&gt;""))*$C144))))</f>
        <v/>
      </c>
      <c r="AP144">
        <f>IF(AP$5&lt;&gt;1,"",IF($C$2,"",IF($E$2,0,IF(SUMPRODUCT($C$121:$C$125,--(AP121:AP125&lt;&gt;""))=0,"",SUMPRODUCT($C$121:$C$125,AP121:AP125)/SUMPRODUCT($C$121:$C$125,--(AP121:AP125&lt;&gt;""))*$C144))))</f>
        <v/>
      </c>
      <c r="AQ144">
        <f>IF(AQ$5&lt;&gt;1,"",IF($C$2,"",IF($E$2,0,IF(SUMPRODUCT($C$121:$C$125,--(AQ121:AQ125&lt;&gt;""))=0,"",SUMPRODUCT($C$121:$C$125,AQ121:AQ125)/SUMPRODUCT($C$121:$C$125,--(AQ121:AQ125&lt;&gt;""))*$C144))))</f>
        <v/>
      </c>
      <c r="AR144">
        <f>IF(AR$5&lt;&gt;1,"",IF($C$2,"",IF($E$2,0,IF(SUMPRODUCT($C$121:$C$125,--(AR121:AR125&lt;&gt;""))=0,"",SUMPRODUCT($C$121:$C$125,AR121:AR125)/SUMPRODUCT($C$121:$C$125,--(AR121:AR125&lt;&gt;""))*$C144))))</f>
        <v/>
      </c>
      <c r="AS144">
        <f>IF(AS$5&lt;&gt;1,"",IF($C$2,"",IF($E$2,0,IF(SUMPRODUCT($C$121:$C$125,--(AS121:AS125&lt;&gt;""))=0,"",SUMPRODUCT($C$121:$C$125,AS121:AS125)/SUMPRODUCT($C$121:$C$125,--(AS121:AS125&lt;&gt;""))*$C144))))</f>
        <v/>
      </c>
      <c r="AT144">
        <f>IF(AT$5&lt;&gt;1,"",IF($C$2,"",IF($E$2,0,IF(SUMPRODUCT($C$121:$C$125,--(AT121:AT125&lt;&gt;""))=0,"",SUMPRODUCT($C$121:$C$125,AT121:AT125)/SUMPRODUCT($C$121:$C$125,--(AT121:AT125&lt;&gt;""))*$C144))))</f>
        <v/>
      </c>
      <c r="AU144">
        <f>IF(AU$5&lt;&gt;1,"",IF($C$2,"",IF($E$2,0,IF(SUMPRODUCT($C$121:$C$125,--(AU121:AU125&lt;&gt;""))=0,"",SUMPRODUCT($C$121:$C$125,AU121:AU125)/SUMPRODUCT($C$121:$C$125,--(AU121:AU125&lt;&gt;""))*$C144))))</f>
        <v/>
      </c>
      <c r="AV144">
        <f>IF(AV$5&lt;&gt;1,"",IF($C$2,"",IF($E$2,0,IF(SUMPRODUCT($C$121:$C$125,--(AV121:AV125&lt;&gt;""))=0,"",SUMPRODUCT($C$121:$C$125,AV121:AV125)/SUMPRODUCT($C$121:$C$125,--(AV121:AV125&lt;&gt;""))*$C144))))</f>
        <v/>
      </c>
      <c r="AW144">
        <f>IF(AW$5&lt;&gt;1,"",IF($C$2,"",IF($E$2,0,IF(SUMPRODUCT($C$121:$C$125,--(AW121:AW125&lt;&gt;""))=0,"",SUMPRODUCT($C$121:$C$125,AW121:AW125)/SUMPRODUCT($C$121:$C$125,--(AW121:AW125&lt;&gt;""))*$C144))))</f>
        <v/>
      </c>
      <c r="AX144">
        <f>IF(AX$5&lt;&gt;1,"",IF($C$2,"",IF($E$2,0,IF(SUMPRODUCT($C$121:$C$125,--(AX121:AX125&lt;&gt;""))=0,"",SUMPRODUCT($C$121:$C$125,AX121:AX125)/SUMPRODUCT($C$121:$C$125,--(AX121:AX125&lt;&gt;""))*$C144))))</f>
        <v/>
      </c>
      <c r="AY144">
        <f>IF(AY$5&lt;&gt;1,"",IF($C$2,"",IF($E$2,0,IF(SUMPRODUCT($C$121:$C$125,--(AY121:AY125&lt;&gt;""))=0,"",SUMPRODUCT($C$121:$C$125,AY121:AY125)/SUMPRODUCT($C$121:$C$125,--(AY121:AY125&lt;&gt;""))*$C144))))</f>
        <v/>
      </c>
      <c r="AZ144">
        <f>IF(AZ$5&lt;&gt;1,"",IF($C$2,"",IF($E$2,0,IF(SUMPRODUCT($C$121:$C$125,--(AZ121:AZ125&lt;&gt;""))=0,"",SUMPRODUCT($C$121:$C$125,AZ121:AZ125)/SUMPRODUCT($C$121:$C$125,--(AZ121:AZ125&lt;&gt;""))*$C144))))</f>
        <v/>
      </c>
      <c r="BA144">
        <f>IF(BA$5&lt;&gt;1,"",IF($C$2,"",IF($E$2,0,IF(SUMPRODUCT($C$121:$C$125,--(BA121:BA125&lt;&gt;""))=0,"",SUMPRODUCT($C$121:$C$125,BA121:BA125)/SUMPRODUCT($C$121:$C$125,--(BA121:BA125&lt;&gt;""))*$C144))))</f>
        <v/>
      </c>
      <c r="BB144">
        <f>IF(BB$5&lt;&gt;1,"",IF($C$2,"",IF($E$2,0,IF(SUMPRODUCT($C$121:$C$125,--(BB121:BB125&lt;&gt;""))=0,"",SUMPRODUCT($C$121:$C$125,BB121:BB125)/SUMPRODUCT($C$121:$C$125,--(BB121:BB125&lt;&gt;""))*$C144))))</f>
        <v/>
      </c>
    </row>
    <row r="145">
      <c r="A145" s="45" t="inlineStr">
        <is>
          <t>TOTAL</t>
        </is>
      </c>
      <c r="B145" s="45" t="inlineStr">
        <is>
          <t>노사관계 종합(100점 환산)</t>
        </is>
      </c>
      <c r="E145">
        <f>IF(E$5&lt;&gt;1,"",IFERROR(SUM(E138:E144)/SUMPRODUCT($C$138:$C$144,--(E138:E144&lt;&gt;""))*100,""))</f>
        <v/>
      </c>
      <c r="F145">
        <f>IF(F$5&lt;&gt;1,"",IFERROR(SUM(F138:F144)/SUMPRODUCT($C$138:$C$144,--(F138:F144&lt;&gt;""))*100,""))</f>
        <v/>
      </c>
      <c r="G145">
        <f>IF(G$5&lt;&gt;1,"",IFERROR(SUM(G138:G144)/SUMPRODUCT($C$138:$C$144,--(G138:G144&lt;&gt;""))*100,""))</f>
        <v/>
      </c>
      <c r="H145">
        <f>IF(H$5&lt;&gt;1,"",IFERROR(SUM(H138:H144)/SUMPRODUCT($C$138:$C$144,--(H138:H144&lt;&gt;""))*100,""))</f>
        <v/>
      </c>
      <c r="I145">
        <f>IF(I$5&lt;&gt;1,"",IFERROR(SUM(I138:I144)/SUMPRODUCT($C$138:$C$144,--(I138:I144&lt;&gt;""))*100,""))</f>
        <v/>
      </c>
      <c r="J145">
        <f>IF(J$5&lt;&gt;1,"",IFERROR(SUM(J138:J144)/SUMPRODUCT($C$138:$C$144,--(J138:J144&lt;&gt;""))*100,""))</f>
        <v/>
      </c>
      <c r="K145">
        <f>IF(K$5&lt;&gt;1,"",IFERROR(SUM(K138:K144)/SUMPRODUCT($C$138:$C$144,--(K138:K144&lt;&gt;""))*100,""))</f>
        <v/>
      </c>
      <c r="L145">
        <f>IF(L$5&lt;&gt;1,"",IFERROR(SUM(L138:L144)/SUMPRODUCT($C$138:$C$144,--(L138:L144&lt;&gt;""))*100,""))</f>
        <v/>
      </c>
      <c r="M145">
        <f>IF(M$5&lt;&gt;1,"",IFERROR(SUM(M138:M144)/SUMPRODUCT($C$138:$C$144,--(M138:M144&lt;&gt;""))*100,""))</f>
        <v/>
      </c>
      <c r="N145">
        <f>IF(N$5&lt;&gt;1,"",IFERROR(SUM(N138:N144)/SUMPRODUCT($C$138:$C$144,--(N138:N144&lt;&gt;""))*100,""))</f>
        <v/>
      </c>
      <c r="O145">
        <f>IF(O$5&lt;&gt;1,"",IFERROR(SUM(O138:O144)/SUMPRODUCT($C$138:$C$144,--(O138:O144&lt;&gt;""))*100,""))</f>
        <v/>
      </c>
      <c r="P145">
        <f>IF(P$5&lt;&gt;1,"",IFERROR(SUM(P138:P144)/SUMPRODUCT($C$138:$C$144,--(P138:P144&lt;&gt;""))*100,""))</f>
        <v/>
      </c>
      <c r="Q145">
        <f>IF(Q$5&lt;&gt;1,"",IFERROR(SUM(Q138:Q144)/SUMPRODUCT($C$138:$C$144,--(Q138:Q144&lt;&gt;""))*100,""))</f>
        <v/>
      </c>
      <c r="R145">
        <f>IF(R$5&lt;&gt;1,"",IFERROR(SUM(R138:R144)/SUMPRODUCT($C$138:$C$144,--(R138:R144&lt;&gt;""))*100,""))</f>
        <v/>
      </c>
      <c r="S145">
        <f>IF(S$5&lt;&gt;1,"",IFERROR(SUM(S138:S144)/SUMPRODUCT($C$138:$C$144,--(S138:S144&lt;&gt;""))*100,""))</f>
        <v/>
      </c>
      <c r="T145">
        <f>IF(T$5&lt;&gt;1,"",IFERROR(SUM(T138:T144)/SUMPRODUCT($C$138:$C$144,--(T138:T144&lt;&gt;""))*100,""))</f>
        <v/>
      </c>
      <c r="U145">
        <f>IF(U$5&lt;&gt;1,"",IFERROR(SUM(U138:U144)/SUMPRODUCT($C$138:$C$144,--(U138:U144&lt;&gt;""))*100,""))</f>
        <v/>
      </c>
      <c r="V145">
        <f>IF(V$5&lt;&gt;1,"",IFERROR(SUM(V138:V144)/SUMPRODUCT($C$138:$C$144,--(V138:V144&lt;&gt;""))*100,""))</f>
        <v/>
      </c>
      <c r="W145">
        <f>IF(W$5&lt;&gt;1,"",IFERROR(SUM(W138:W144)/SUMPRODUCT($C$138:$C$144,--(W138:W144&lt;&gt;""))*100,""))</f>
        <v/>
      </c>
      <c r="X145">
        <f>IF(X$5&lt;&gt;1,"",IFERROR(SUM(X138:X144)/SUMPRODUCT($C$138:$C$144,--(X138:X144&lt;&gt;""))*100,""))</f>
        <v/>
      </c>
      <c r="Y145">
        <f>IF(Y$5&lt;&gt;1,"",IFERROR(SUM(Y138:Y144)/SUMPRODUCT($C$138:$C$144,--(Y138:Y144&lt;&gt;""))*100,""))</f>
        <v/>
      </c>
      <c r="Z145">
        <f>IF(Z$5&lt;&gt;1,"",IFERROR(SUM(Z138:Z144)/SUMPRODUCT($C$138:$C$144,--(Z138:Z144&lt;&gt;""))*100,""))</f>
        <v/>
      </c>
      <c r="AA145">
        <f>IF(AA$5&lt;&gt;1,"",IFERROR(SUM(AA138:AA144)/SUMPRODUCT($C$138:$C$144,--(AA138:AA144&lt;&gt;""))*100,""))</f>
        <v/>
      </c>
      <c r="AB145">
        <f>IF(AB$5&lt;&gt;1,"",IFERROR(SUM(AB138:AB144)/SUMPRODUCT($C$138:$C$144,--(AB138:AB144&lt;&gt;""))*100,""))</f>
        <v/>
      </c>
      <c r="AC145">
        <f>IF(AC$5&lt;&gt;1,"",IFERROR(SUM(AC138:AC144)/SUMPRODUCT($C$138:$C$144,--(AC138:AC144&lt;&gt;""))*100,""))</f>
        <v/>
      </c>
      <c r="AD145">
        <f>IF(AD$5&lt;&gt;1,"",IFERROR(SUM(AD138:AD144)/SUMPRODUCT($C$138:$C$144,--(AD138:AD144&lt;&gt;""))*100,""))</f>
        <v/>
      </c>
      <c r="AE145">
        <f>IF(AE$5&lt;&gt;1,"",IFERROR(SUM(AE138:AE144)/SUMPRODUCT($C$138:$C$144,--(AE138:AE144&lt;&gt;""))*100,""))</f>
        <v/>
      </c>
      <c r="AF145">
        <f>IF(AF$5&lt;&gt;1,"",IFERROR(SUM(AF138:AF144)/SUMPRODUCT($C$138:$C$144,--(AF138:AF144&lt;&gt;""))*100,""))</f>
        <v/>
      </c>
      <c r="AG145">
        <f>IF(AG$5&lt;&gt;1,"",IFERROR(SUM(AG138:AG144)/SUMPRODUCT($C$138:$C$144,--(AG138:AG144&lt;&gt;""))*100,""))</f>
        <v/>
      </c>
      <c r="AH145">
        <f>IF(AH$5&lt;&gt;1,"",IFERROR(SUM(AH138:AH144)/SUMPRODUCT($C$138:$C$144,--(AH138:AH144&lt;&gt;""))*100,""))</f>
        <v/>
      </c>
      <c r="AI145">
        <f>IF(AI$5&lt;&gt;1,"",IFERROR(SUM(AI138:AI144)/SUMPRODUCT($C$138:$C$144,--(AI138:AI144&lt;&gt;""))*100,""))</f>
        <v/>
      </c>
      <c r="AJ145">
        <f>IF(AJ$5&lt;&gt;1,"",IFERROR(SUM(AJ138:AJ144)/SUMPRODUCT($C$138:$C$144,--(AJ138:AJ144&lt;&gt;""))*100,""))</f>
        <v/>
      </c>
      <c r="AK145">
        <f>IF(AK$5&lt;&gt;1,"",IFERROR(SUM(AK138:AK144)/SUMPRODUCT($C$138:$C$144,--(AK138:AK144&lt;&gt;""))*100,""))</f>
        <v/>
      </c>
      <c r="AL145">
        <f>IF(AL$5&lt;&gt;1,"",IFERROR(SUM(AL138:AL144)/SUMPRODUCT($C$138:$C$144,--(AL138:AL144&lt;&gt;""))*100,""))</f>
        <v/>
      </c>
      <c r="AM145">
        <f>IF(AM$5&lt;&gt;1,"",IFERROR(SUM(AM138:AM144)/SUMPRODUCT($C$138:$C$144,--(AM138:AM144&lt;&gt;""))*100,""))</f>
        <v/>
      </c>
      <c r="AN145">
        <f>IF(AN$5&lt;&gt;1,"",IFERROR(SUM(AN138:AN144)/SUMPRODUCT($C$138:$C$144,--(AN138:AN144&lt;&gt;""))*100,""))</f>
        <v/>
      </c>
      <c r="AO145">
        <f>IF(AO$5&lt;&gt;1,"",IFERROR(SUM(AO138:AO144)/SUMPRODUCT($C$138:$C$144,--(AO138:AO144&lt;&gt;""))*100,""))</f>
        <v/>
      </c>
      <c r="AP145">
        <f>IF(AP$5&lt;&gt;1,"",IFERROR(SUM(AP138:AP144)/SUMPRODUCT($C$138:$C$144,--(AP138:AP144&lt;&gt;""))*100,""))</f>
        <v/>
      </c>
      <c r="AQ145">
        <f>IF(AQ$5&lt;&gt;1,"",IFERROR(SUM(AQ138:AQ144)/SUMPRODUCT($C$138:$C$144,--(AQ138:AQ144&lt;&gt;""))*100,""))</f>
        <v/>
      </c>
      <c r="AR145">
        <f>IF(AR$5&lt;&gt;1,"",IFERROR(SUM(AR138:AR144)/SUMPRODUCT($C$138:$C$144,--(AR138:AR144&lt;&gt;""))*100,""))</f>
        <v/>
      </c>
      <c r="AS145">
        <f>IF(AS$5&lt;&gt;1,"",IFERROR(SUM(AS138:AS144)/SUMPRODUCT($C$138:$C$144,--(AS138:AS144&lt;&gt;""))*100,""))</f>
        <v/>
      </c>
      <c r="AT145">
        <f>IF(AT$5&lt;&gt;1,"",IFERROR(SUM(AT138:AT144)/SUMPRODUCT($C$138:$C$144,--(AT138:AT144&lt;&gt;""))*100,""))</f>
        <v/>
      </c>
      <c r="AU145">
        <f>IF(AU$5&lt;&gt;1,"",IFERROR(SUM(AU138:AU144)/SUMPRODUCT($C$138:$C$144,--(AU138:AU144&lt;&gt;""))*100,""))</f>
        <v/>
      </c>
      <c r="AV145">
        <f>IF(AV$5&lt;&gt;1,"",IFERROR(SUM(AV138:AV144)/SUMPRODUCT($C$138:$C$144,--(AV138:AV144&lt;&gt;""))*100,""))</f>
        <v/>
      </c>
      <c r="AW145">
        <f>IF(AW$5&lt;&gt;1,"",IFERROR(SUM(AW138:AW144)/SUMPRODUCT($C$138:$C$144,--(AW138:AW144&lt;&gt;""))*100,""))</f>
        <v/>
      </c>
      <c r="AX145">
        <f>IF(AX$5&lt;&gt;1,"",IFERROR(SUM(AX138:AX144)/SUMPRODUCT($C$138:$C$144,--(AX138:AX144&lt;&gt;""))*100,""))</f>
        <v/>
      </c>
      <c r="AY145">
        <f>IF(AY$5&lt;&gt;1,"",IFERROR(SUM(AY138:AY144)/SUMPRODUCT($C$138:$C$144,--(AY138:AY144&lt;&gt;""))*100,""))</f>
        <v/>
      </c>
      <c r="AZ145">
        <f>IF(AZ$5&lt;&gt;1,"",IFERROR(SUM(AZ138:AZ144)/SUMPRODUCT($C$138:$C$144,--(AZ138:AZ144&lt;&gt;""))*100,""))</f>
        <v/>
      </c>
      <c r="BA145">
        <f>IF(BA$5&lt;&gt;1,"",IFERROR(SUM(BA138:BA144)/SUMPRODUCT($C$138:$C$144,--(BA138:BA144&lt;&gt;""))*100,""))</f>
        <v/>
      </c>
      <c r="BB145">
        <f>IF(BB$5&lt;&gt;1,"",IFERROR(SUM(BB138:BB144)/SUMPRODUCT($C$138:$C$144,--(BB138:BB144&lt;&gt;""))*100,""))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2026-10-29T15:10:53Z</dcterms:created>
  <dcterms:modified xmlns:dcterms="http://purl.org/dc/terms/" xmlns:xsi="http://www.w3.org/2001/XMLSchema-instance" xsi:type="dcterms:W3CDTF">2026-10-29T15:10:53Z</dcterms:modified>
</cp:coreProperties>
</file>